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886894edeee21f/Desktop/Data Analyst project/Sai Sudharsan ipl Stats/"/>
    </mc:Choice>
  </mc:AlternateContent>
  <xr:revisionPtr revIDLastSave="48" documentId="13_ncr:1_{9A84C9D4-D06E-4E96-83F0-FF64527DC1C5}" xr6:coauthVersionLast="47" xr6:coauthVersionMax="47" xr10:uidLastSave="{80AFD707-85DE-4EE6-B1E9-BACC9ABD4B26}"/>
  <bookViews>
    <workbookView xWindow="-108" yWindow="-108" windowWidth="23256" windowHeight="12456" activeTab="1" xr2:uid="{EEC08BB6-817B-4FD6-A1B5-1EF4ECE469E0}"/>
  </bookViews>
  <sheets>
    <sheet name="Sheet1" sheetId="5" r:id="rId1"/>
    <sheet name="Main table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5" i="1" l="1"/>
  <c r="J64" i="1"/>
  <c r="G65" i="1"/>
  <c r="F67" i="1"/>
  <c r="L16" i="1"/>
  <c r="P16" i="1"/>
  <c r="Q16" i="1" s="1"/>
  <c r="Q49" i="1"/>
  <c r="L28" i="1"/>
  <c r="L60" i="1"/>
  <c r="P60" i="1"/>
  <c r="Q60" i="1" s="1"/>
  <c r="P4" i="1"/>
  <c r="Q4" i="1" s="1"/>
  <c r="P5" i="1"/>
  <c r="Q5" i="1" s="1"/>
  <c r="P6" i="1"/>
  <c r="Q6" i="1" s="1"/>
  <c r="P7" i="1"/>
  <c r="Q7" i="1" s="1"/>
  <c r="P8" i="1"/>
  <c r="Q8" i="1" s="1"/>
  <c r="P9" i="1"/>
  <c r="Q9" i="1" s="1"/>
  <c r="P10" i="1"/>
  <c r="Q10" i="1" s="1"/>
  <c r="P11" i="1"/>
  <c r="Q11" i="1" s="1"/>
  <c r="P12" i="1"/>
  <c r="Q12" i="1" s="1"/>
  <c r="P13" i="1"/>
  <c r="Q13" i="1" s="1"/>
  <c r="P14" i="1"/>
  <c r="Q14" i="1" s="1"/>
  <c r="P15" i="1"/>
  <c r="Q15" i="1" s="1"/>
  <c r="P17" i="1"/>
  <c r="Q17" i="1" s="1"/>
  <c r="P18" i="1"/>
  <c r="Q18" i="1" s="1"/>
  <c r="P19" i="1"/>
  <c r="Q19" i="1" s="1"/>
  <c r="P20" i="1"/>
  <c r="Q20" i="1" s="1"/>
  <c r="P21" i="1"/>
  <c r="Q21" i="1" s="1"/>
  <c r="P22" i="1"/>
  <c r="Q22" i="1" s="1"/>
  <c r="P23" i="1"/>
  <c r="Q23" i="1" s="1"/>
  <c r="P24" i="1"/>
  <c r="Q24" i="1" s="1"/>
  <c r="P25" i="1"/>
  <c r="Q25" i="1" s="1"/>
  <c r="P26" i="1"/>
  <c r="Q26" i="1" s="1"/>
  <c r="P27" i="1"/>
  <c r="Q27" i="1" s="1"/>
  <c r="P28" i="1"/>
  <c r="Q28" i="1" s="1"/>
  <c r="P29" i="1"/>
  <c r="Q29" i="1" s="1"/>
  <c r="P30" i="1"/>
  <c r="Q30" i="1" s="1"/>
  <c r="P31" i="1"/>
  <c r="Q31" i="1" s="1"/>
  <c r="P32" i="1"/>
  <c r="Q32" i="1" s="1"/>
  <c r="P33" i="1"/>
  <c r="Q33" i="1" s="1"/>
  <c r="P34" i="1"/>
  <c r="Q34" i="1" s="1"/>
  <c r="P35" i="1"/>
  <c r="Q35" i="1" s="1"/>
  <c r="P36" i="1"/>
  <c r="Q36" i="1" s="1"/>
  <c r="P37" i="1"/>
  <c r="Q37" i="1" s="1"/>
  <c r="P38" i="1"/>
  <c r="Q38" i="1" s="1"/>
  <c r="P39" i="1"/>
  <c r="Q39" i="1" s="1"/>
  <c r="P40" i="1"/>
  <c r="Q40" i="1" s="1"/>
  <c r="P41" i="1"/>
  <c r="Q41" i="1" s="1"/>
  <c r="P42" i="1"/>
  <c r="Q42" i="1" s="1"/>
  <c r="P43" i="1"/>
  <c r="Q43" i="1" s="1"/>
  <c r="P44" i="1"/>
  <c r="Q44" i="1" s="1"/>
  <c r="P45" i="1"/>
  <c r="Q45" i="1" s="1"/>
  <c r="P46" i="1"/>
  <c r="Q46" i="1" s="1"/>
  <c r="P47" i="1"/>
  <c r="Q47" i="1" s="1"/>
  <c r="P48" i="1"/>
  <c r="Q48" i="1" s="1"/>
  <c r="P49" i="1"/>
  <c r="P50" i="1"/>
  <c r="Q50" i="1" s="1"/>
  <c r="P51" i="1"/>
  <c r="Q51" i="1" s="1"/>
  <c r="P52" i="1"/>
  <c r="Q52" i="1" s="1"/>
  <c r="P53" i="1"/>
  <c r="Q53" i="1" s="1"/>
  <c r="P54" i="1"/>
  <c r="Q54" i="1" s="1"/>
  <c r="P55" i="1"/>
  <c r="Q55" i="1" s="1"/>
  <c r="P56" i="1"/>
  <c r="Q56" i="1" s="1"/>
  <c r="P57" i="1"/>
  <c r="Q57" i="1" s="1"/>
  <c r="P58" i="1"/>
  <c r="Q58" i="1" s="1"/>
  <c r="P59" i="1"/>
  <c r="Q59" i="1" s="1"/>
  <c r="L4" i="1"/>
  <c r="L5" i="1"/>
  <c r="L6" i="1"/>
  <c r="L7" i="1"/>
  <c r="L8" i="1"/>
  <c r="L9" i="1"/>
  <c r="L10" i="1"/>
  <c r="L11" i="1"/>
  <c r="L12" i="1"/>
  <c r="L13" i="1"/>
  <c r="L14" i="1"/>
  <c r="L15" i="1"/>
  <c r="L17" i="1"/>
  <c r="L18" i="1"/>
  <c r="L19" i="1"/>
  <c r="L20" i="1"/>
  <c r="L21" i="1"/>
  <c r="L22" i="1"/>
  <c r="L23" i="1"/>
  <c r="L24" i="1"/>
  <c r="L25" i="1"/>
  <c r="L26" i="1"/>
  <c r="L27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</calcChain>
</file>

<file path=xl/sharedStrings.xml><?xml version="1.0" encoding="utf-8"?>
<sst xmlns="http://schemas.openxmlformats.org/spreadsheetml/2006/main" count="252" uniqueCount="55">
  <si>
    <t>Opponent</t>
  </si>
  <si>
    <t>Venue</t>
  </si>
  <si>
    <t xml:space="preserve">Runs </t>
  </si>
  <si>
    <t>Fours</t>
  </si>
  <si>
    <t>Sixes</t>
  </si>
  <si>
    <t xml:space="preserve">Dismissal </t>
  </si>
  <si>
    <t xml:space="preserve">Result </t>
  </si>
  <si>
    <t>Punjab Kings</t>
  </si>
  <si>
    <t>Mumbai</t>
  </si>
  <si>
    <t>Caught</t>
  </si>
  <si>
    <t>Win</t>
  </si>
  <si>
    <t>Season</t>
  </si>
  <si>
    <t>Royal Challengers Bengaluru</t>
  </si>
  <si>
    <t>Sunrisers Hyderabad</t>
  </si>
  <si>
    <t>Mumbai Indians</t>
  </si>
  <si>
    <t>Hit Wicket</t>
  </si>
  <si>
    <t>Loss</t>
  </si>
  <si>
    <t>Chennai Super Kings</t>
  </si>
  <si>
    <t>Delhi Capitals</t>
  </si>
  <si>
    <t>Rajasthan Royals</t>
  </si>
  <si>
    <t>Ahmedabad</t>
  </si>
  <si>
    <t>Delhi</t>
  </si>
  <si>
    <t>Mohali</t>
  </si>
  <si>
    <t>Not Out</t>
  </si>
  <si>
    <t>Run out</t>
  </si>
  <si>
    <t>Chennai</t>
  </si>
  <si>
    <t>Lucknow</t>
  </si>
  <si>
    <t>Jaipur</t>
  </si>
  <si>
    <t>Retd.Out</t>
  </si>
  <si>
    <t>LBW</t>
  </si>
  <si>
    <t xml:space="preserve"> Kolkata Knight Riders</t>
  </si>
  <si>
    <t>Lucknow Super Giants</t>
  </si>
  <si>
    <t>Bengluru</t>
  </si>
  <si>
    <t>Bowled</t>
  </si>
  <si>
    <t>Hyderabad</t>
  </si>
  <si>
    <t>Kolkata</t>
  </si>
  <si>
    <t>Himachal Pradesh</t>
  </si>
  <si>
    <t>Mullanpur</t>
  </si>
  <si>
    <t xml:space="preserve">Sum of Runs </t>
  </si>
  <si>
    <t>Grand Total</t>
  </si>
  <si>
    <t>Inning No</t>
  </si>
  <si>
    <t xml:space="preserve">Match_date </t>
  </si>
  <si>
    <t>Strike_Rate</t>
  </si>
  <si>
    <t>Batting_Position</t>
  </si>
  <si>
    <t>Boundary_Runs</t>
  </si>
  <si>
    <t>Boundary_percentage</t>
  </si>
  <si>
    <t xml:space="preserve">Balls </t>
  </si>
  <si>
    <t>Row Labels</t>
  </si>
  <si>
    <t>Sum of Fours</t>
  </si>
  <si>
    <t>Sum of Sixes</t>
  </si>
  <si>
    <t>Sum of Boundary_Runs</t>
  </si>
  <si>
    <t>Season wise perfromance</t>
  </si>
  <si>
    <t>Strike Rate</t>
  </si>
  <si>
    <t>Balls</t>
  </si>
  <si>
    <t xml:space="preserve"> Not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</si>
</sst>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4" tint="-0.249977111117893"/>
      <name val="Aptos Narrow"/>
      <family val="2"/>
      <scheme val="minor"/>
    </font>
    <font>
      <b/>
      <sz val="16"/>
      <color theme="4" tint="0.79998168889431442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4" fontId="2" fillId="0" borderId="6" xfId="0" applyNumberFormat="1" applyFont="1" applyBorder="1" applyAlignment="1">
      <alignment horizontal="center"/>
    </xf>
    <xf numFmtId="0" fontId="2" fillId="0" borderId="6" xfId="1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14" fontId="2" fillId="0" borderId="4" xfId="0" applyNumberFormat="1" applyFont="1" applyBorder="1" applyAlignment="1">
      <alignment horizontal="center"/>
    </xf>
    <xf numFmtId="1" fontId="3" fillId="2" borderId="2" xfId="0" applyNumberFormat="1" applyFont="1" applyFill="1" applyBorder="1" applyAlignment="1">
      <alignment horizontal="center"/>
    </xf>
    <xf numFmtId="1" fontId="2" fillId="0" borderId="6" xfId="0" applyNumberFormat="1" applyFont="1" applyBorder="1" applyAlignment="1">
      <alignment horizontal="center"/>
    </xf>
    <xf numFmtId="1" fontId="2" fillId="0" borderId="4" xfId="0" applyNumberFormat="1" applyFont="1" applyBorder="1" applyAlignment="1">
      <alignment horizontal="center"/>
    </xf>
    <xf numFmtId="14" fontId="2" fillId="0" borderId="9" xfId="0" applyNumberFormat="1" applyFont="1" applyBorder="1" applyAlignment="1">
      <alignment horizontal="center"/>
    </xf>
    <xf numFmtId="1" fontId="0" fillId="0" borderId="0" xfId="0" applyNumberFormat="1"/>
    <xf numFmtId="2" fontId="0" fillId="0" borderId="13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2" fontId="2" fillId="0" borderId="7" xfId="1" applyNumberFormat="1" applyFont="1" applyBorder="1" applyAlignment="1">
      <alignment horizontal="center"/>
    </xf>
    <xf numFmtId="2" fontId="0" fillId="0" borderId="0" xfId="1" applyNumberFormat="1" applyFont="1"/>
    <xf numFmtId="2" fontId="3" fillId="2" borderId="3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5" xfId="0" applyBorder="1"/>
    <xf numFmtId="0" fontId="0" fillId="0" borderId="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pivotButton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2" fontId="0" fillId="0" borderId="0" xfId="0" applyNumberFormat="1"/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46"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trike val="0"/>
        <outline val="0"/>
        <shadow val="0"/>
        <u val="none"/>
        <vertAlign val="baseline"/>
        <sz val="14"/>
        <color theme="4" tint="-0.249977111117893"/>
        <name val="Aptos Narrow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4" tint="-0.249977111117893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4" tint="-0.249977111117893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4" tint="-0.249977111117893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4" tint="-0.249977111117893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4"/>
        <color theme="4" tint="-0.249977111117893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4" tint="-0.249977111117893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4" tint="-0.249977111117893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4" tint="-0.249977111117893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4" tint="-0.249977111117893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4" tint="-0.249977111117893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4" tint="-0.249977111117893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4" tint="-0.249977111117893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4" tint="-0.249977111117893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4" tint="-0.249977111117893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4" tint="-0.249977111117893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4" tint="0.79998168889431442"/>
        <name val="Aptos Narrow"/>
        <family val="2"/>
        <scheme val="minor"/>
      </font>
      <fill>
        <patternFill patternType="solid">
          <fgColor indexed="64"/>
          <bgColor theme="3" tint="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IYUSH" refreshedDate="46182.718385185188" createdVersion="8" refreshedVersion="8" minRefreshableVersion="3" recordCount="57" xr:uid="{4C27C24C-81D6-4BD5-AF46-9DCE58D23038}">
  <cacheSource type="worksheet">
    <worksheetSource name="Table1"/>
  </cacheSource>
  <cacheFields count="16">
    <cacheField name="Inning No" numFmtId="0">
      <sharedItems containsSemiMixedTypes="0" containsString="0" containsNumber="1" containsInteger="1" minValue="1" maxValue="57"/>
    </cacheField>
    <cacheField name="Match_date " numFmtId="14">
      <sharedItems containsSemiMixedTypes="0" containsNonDate="0" containsDate="1" containsString="0" minDate="2022-04-08T00:00:00" maxDate="2026-06-01T00:00:00"/>
    </cacheField>
    <cacheField name="Season" numFmtId="0">
      <sharedItems containsSemiMixedTypes="0" containsString="0" containsNumber="1" containsInteger="1" minValue="2022" maxValue="2026" count="5">
        <n v="2022"/>
        <n v="2023"/>
        <n v="2024"/>
        <n v="2025"/>
        <n v="2026"/>
      </sharedItems>
    </cacheField>
    <cacheField name="Opponent" numFmtId="0">
      <sharedItems/>
    </cacheField>
    <cacheField name="Venue" numFmtId="0">
      <sharedItems/>
    </cacheField>
    <cacheField name="Runs " numFmtId="0">
      <sharedItems containsSemiMixedTypes="0" containsString="0" containsNumber="1" containsInteger="1" minValue="0" maxValue="108" count="44">
        <n v="35"/>
        <n v="11"/>
        <n v="20"/>
        <n v="65"/>
        <n v="14"/>
        <n v="22"/>
        <n v="62"/>
        <n v="53"/>
        <n v="19"/>
        <n v="47"/>
        <n v="43"/>
        <n v="96"/>
        <n v="45"/>
        <n v="37"/>
        <n v="33"/>
        <n v="31"/>
        <n v="12"/>
        <n v="84"/>
        <n v="6"/>
        <n v="103"/>
        <n v="74"/>
        <n v="63"/>
        <n v="49"/>
        <n v="5"/>
        <n v="82"/>
        <n v="56"/>
        <n v="36"/>
        <n v="52"/>
        <n v="39"/>
        <n v="48"/>
        <n v="108"/>
        <n v="21"/>
        <n v="41"/>
        <n v="80"/>
        <n v="13"/>
        <n v="73"/>
        <n v="15"/>
        <n v="0"/>
        <n v="100"/>
        <n v="87"/>
        <n v="57"/>
        <n v="55"/>
        <n v="61"/>
        <n v="58"/>
      </sharedItems>
    </cacheField>
    <cacheField name="Balls " numFmtId="0">
      <sharedItems containsSemiMixedTypes="0" containsString="0" containsNumber="1" containsInteger="1" minValue="1" maxValue="61"/>
    </cacheField>
    <cacheField name="Fours" numFmtId="0">
      <sharedItems containsSemiMixedTypes="0" containsString="0" containsNumber="1" containsInteger="1" minValue="0" maxValue="12"/>
    </cacheField>
    <cacheField name="Sixes" numFmtId="0">
      <sharedItems containsSemiMixedTypes="0" containsString="0" containsNumber="1" containsInteger="1" minValue="0" maxValue="7"/>
    </cacheField>
    <cacheField name="Strike_Rate" numFmtId="0">
      <sharedItems containsSemiMixedTypes="0" containsString="0" containsNumber="1" minValue="0" maxValue="208.7"/>
    </cacheField>
    <cacheField name="Batting_Position" numFmtId="0">
      <sharedItems containsSemiMixedTypes="0" containsString="0" containsNumber="1" containsInteger="1" minValue="1" maxValue="4"/>
    </cacheField>
    <cacheField name="Dismissal " numFmtId="0">
      <sharedItems/>
    </cacheField>
    <cacheField name="Result " numFmtId="0">
      <sharedItems/>
    </cacheField>
    <cacheField name="Boundary_Runs" numFmtId="0">
      <sharedItems containsSemiMixedTypes="0" containsString="0" containsNumber="1" containsInteger="1" minValue="0" maxValue="74"/>
    </cacheField>
    <cacheField name="Boundary_percentage" numFmtId="2">
      <sharedItems containsSemiMixedTypes="0" containsString="0" containsNumber="1" minValue="0" maxValue="85.714285714285708"/>
    </cacheField>
    <cacheField name="Avg_Strike_Rate" numFmtId="0" formula="('Runs '/'Balls ')*100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">
  <r>
    <n v="1"/>
    <d v="2022-04-08T00:00:00"/>
    <x v="0"/>
    <s v="Punjab Kings"/>
    <s v="Mumbai"/>
    <x v="0"/>
    <n v="30"/>
    <n v="4"/>
    <n v="1"/>
    <n v="116.67"/>
    <n v="3"/>
    <s v="Caught"/>
    <s v="Win"/>
    <n v="22"/>
    <n v="62.857142857142854"/>
  </r>
  <r>
    <n v="2"/>
    <d v="2022-04-11T00:00:00"/>
    <x v="0"/>
    <s v="Sunrisers Hyderabad"/>
    <s v="Mumbai"/>
    <x v="1"/>
    <n v="9"/>
    <n v="2"/>
    <n v="0"/>
    <n v="122.22"/>
    <n v="3"/>
    <s v="Caught"/>
    <s v="Loss"/>
    <n v="8"/>
    <n v="72.727272727272734"/>
  </r>
  <r>
    <n v="3"/>
    <d v="2022-04-30T00:00:00"/>
    <x v="0"/>
    <s v="Royal Challengers Bengaluru"/>
    <s v="Mumbai"/>
    <x v="2"/>
    <n v="14"/>
    <n v="2"/>
    <n v="0"/>
    <n v="142.86000000000001"/>
    <n v="3"/>
    <s v="Caught"/>
    <s v="Win"/>
    <n v="8"/>
    <n v="40"/>
  </r>
  <r>
    <n v="4"/>
    <d v="2022-05-03T00:00:00"/>
    <x v="0"/>
    <s v="Punjab Kings"/>
    <s v="Mumbai"/>
    <x v="3"/>
    <n v="50"/>
    <n v="5"/>
    <n v="1"/>
    <n v="130"/>
    <n v="3"/>
    <s v=" No Out"/>
    <s v="Loss"/>
    <n v="26"/>
    <n v="40"/>
  </r>
  <r>
    <n v="5"/>
    <d v="2022-05-06T00:00:00"/>
    <x v="0"/>
    <s v="Mumbai Indians"/>
    <s v="Mumbai"/>
    <x v="4"/>
    <n v="11"/>
    <n v="1"/>
    <n v="1"/>
    <n v="127.27"/>
    <n v="4"/>
    <s v="Hit Wicket"/>
    <s v="Loss"/>
    <n v="10"/>
    <n v="71.428571428571431"/>
  </r>
  <r>
    <n v="6"/>
    <d v="2023-03-31T00:00:00"/>
    <x v="1"/>
    <s v="Chennai Super Kings"/>
    <s v="Ahmedabad"/>
    <x v="5"/>
    <n v="17"/>
    <n v="3"/>
    <n v="0"/>
    <n v="129.41"/>
    <n v="3"/>
    <s v="Caught"/>
    <s v="Win"/>
    <n v="12"/>
    <n v="54.54545454545454"/>
  </r>
  <r>
    <n v="7"/>
    <d v="2023-04-04T00:00:00"/>
    <x v="1"/>
    <s v="Delhi Capitals"/>
    <s v="Delhi"/>
    <x v="6"/>
    <n v="48"/>
    <n v="4"/>
    <n v="2"/>
    <n v="129.16999999999999"/>
    <n v="3"/>
    <s v="Not Out"/>
    <s v="Win"/>
    <n v="28"/>
    <n v="45.161290322580641"/>
  </r>
  <r>
    <n v="8"/>
    <d v="2023-04-09T00:00:00"/>
    <x v="1"/>
    <s v=" Kolkata Knight Riders"/>
    <s v="Ahmedabad"/>
    <x v="7"/>
    <n v="38"/>
    <n v="3"/>
    <n v="2"/>
    <n v="139.47"/>
    <n v="3"/>
    <s v="Caught"/>
    <s v="Loss"/>
    <n v="24"/>
    <n v="45.283018867924532"/>
  </r>
  <r>
    <n v="9"/>
    <d v="2023-04-13T00:00:00"/>
    <x v="1"/>
    <s v="Punjab Kings"/>
    <s v="Mohali"/>
    <x v="8"/>
    <n v="20"/>
    <n v="2"/>
    <n v="0"/>
    <n v="95"/>
    <n v="3"/>
    <s v="Caught"/>
    <s v="Win"/>
    <n v="8"/>
    <n v="42.105263157894733"/>
  </r>
  <r>
    <n v="10"/>
    <d v="2023-04-16T00:00:00"/>
    <x v="1"/>
    <s v="Rajasthan Royals"/>
    <s v="Ahmedabad"/>
    <x v="2"/>
    <n v="19"/>
    <n v="2"/>
    <n v="0"/>
    <n v="105.26"/>
    <n v="3"/>
    <s v="Run out"/>
    <s v="Loss"/>
    <n v="8"/>
    <n v="40"/>
  </r>
  <r>
    <n v="11"/>
    <d v="2023-05-15T00:00:00"/>
    <x v="1"/>
    <s v="Sunrisers Hyderabad"/>
    <s v="Ahmedabad"/>
    <x v="9"/>
    <n v="36"/>
    <n v="6"/>
    <n v="1"/>
    <n v="130.56"/>
    <n v="3"/>
    <s v="Caught"/>
    <s v="Win"/>
    <n v="30"/>
    <n v="63.829787234042556"/>
  </r>
  <r>
    <n v="12"/>
    <d v="2023-05-26T00:00:00"/>
    <x v="1"/>
    <s v="Mumbai Indians"/>
    <s v="Ahmedabad"/>
    <x v="10"/>
    <n v="31"/>
    <n v="5"/>
    <n v="1"/>
    <n v="138.71"/>
    <n v="3"/>
    <s v="Retd.Out"/>
    <s v="Win"/>
    <n v="26"/>
    <n v="60.465116279069761"/>
  </r>
  <r>
    <n v="13"/>
    <d v="2023-05-29T00:00:00"/>
    <x v="1"/>
    <s v="Chennai Super Kings"/>
    <s v="Ahmedabad"/>
    <x v="11"/>
    <n v="47"/>
    <n v="8"/>
    <n v="6"/>
    <n v="204.26"/>
    <n v="3"/>
    <s v="LBW"/>
    <s v="Loss"/>
    <n v="68"/>
    <n v="70.833333333333343"/>
  </r>
  <r>
    <n v="14"/>
    <d v="2024-03-24T00:00:00"/>
    <x v="2"/>
    <s v="Mumbai Indians"/>
    <s v="Ahmedabad"/>
    <x v="12"/>
    <n v="39"/>
    <n v="3"/>
    <n v="1"/>
    <n v="115.38"/>
    <n v="3"/>
    <s v="Caught"/>
    <s v="Win"/>
    <n v="18"/>
    <n v="40"/>
  </r>
  <r>
    <n v="15"/>
    <d v="2024-03-26T00:00:00"/>
    <x v="2"/>
    <s v="Chennai Super Kings"/>
    <s v="Chennai"/>
    <x v="13"/>
    <n v="31"/>
    <n v="3"/>
    <n v="0"/>
    <n v="119.35"/>
    <n v="3"/>
    <s v="Caught"/>
    <s v="Loss"/>
    <n v="12"/>
    <n v="32.432432432432435"/>
  </r>
  <r>
    <n v="16"/>
    <d v="2024-03-31T00:00:00"/>
    <x v="2"/>
    <s v="Sunrisers Hyderabad"/>
    <s v="Ahmedabad"/>
    <x v="12"/>
    <n v="36"/>
    <n v="4"/>
    <n v="1"/>
    <n v="125"/>
    <n v="3"/>
    <s v="Caught"/>
    <s v="Win"/>
    <n v="22"/>
    <n v="48.888888888888886"/>
  </r>
  <r>
    <n v="17"/>
    <d v="2024-04-04T00:00:00"/>
    <x v="2"/>
    <s v="Punjab Kings"/>
    <s v="Ahmedabad"/>
    <x v="14"/>
    <n v="19"/>
    <n v="6"/>
    <n v="0"/>
    <n v="173.68"/>
    <n v="4"/>
    <s v="Caught"/>
    <s v="Loss"/>
    <n v="24"/>
    <n v="72.727272727272734"/>
  </r>
  <r>
    <n v="18"/>
    <d v="2024-04-07T00:00:00"/>
    <x v="2"/>
    <s v="Lucknow Super Giants"/>
    <s v="Lucknow"/>
    <x v="15"/>
    <n v="23"/>
    <n v="4"/>
    <n v="0"/>
    <n v="134.78"/>
    <n v="1"/>
    <s v="Caught"/>
    <s v="Loss"/>
    <n v="16"/>
    <n v="51.612903225806448"/>
  </r>
  <r>
    <n v="19"/>
    <d v="2024-04-10T00:00:00"/>
    <x v="2"/>
    <s v="Rajasthan Royals"/>
    <s v="Jaipur"/>
    <x v="0"/>
    <n v="29"/>
    <n v="3"/>
    <n v="1"/>
    <n v="120.69"/>
    <n v="1"/>
    <s v="LBW"/>
    <s v="Win"/>
    <n v="18"/>
    <n v="51.428571428571423"/>
  </r>
  <r>
    <n v="20"/>
    <d v="2024-04-17T00:00:00"/>
    <x v="2"/>
    <s v="Delhi Capitals"/>
    <s v="Ahmedabad"/>
    <x v="16"/>
    <n v="9"/>
    <n v="2"/>
    <n v="0"/>
    <n v="133.33000000000001"/>
    <n v="3"/>
    <s v="Run out"/>
    <s v="Loss"/>
    <n v="8"/>
    <n v="66.666666666666657"/>
  </r>
  <r>
    <n v="21"/>
    <d v="2024-04-21T00:00:00"/>
    <x v="2"/>
    <s v="Punjab Kings"/>
    <s v="Mullanpur"/>
    <x v="15"/>
    <n v="34"/>
    <n v="3"/>
    <n v="0"/>
    <n v="91.18"/>
    <n v="3"/>
    <s v="Bowled"/>
    <s v="Win"/>
    <n v="12"/>
    <n v="38.70967741935484"/>
  </r>
  <r>
    <n v="22"/>
    <d v="2024-04-24T00:00:00"/>
    <x v="2"/>
    <s v="Delhi Capitals"/>
    <s v="Delhi"/>
    <x v="3"/>
    <n v="39"/>
    <n v="7"/>
    <n v="2"/>
    <n v="166.67"/>
    <n v="3"/>
    <s v="Caught"/>
    <s v="Loss"/>
    <n v="40"/>
    <n v="61.53846153846154"/>
  </r>
  <r>
    <n v="23"/>
    <d v="2024-04-28T00:00:00"/>
    <x v="2"/>
    <s v="Royal Challengers Bengaluru"/>
    <s v="Ahmedabad"/>
    <x v="17"/>
    <n v="49"/>
    <n v="8"/>
    <n v="4"/>
    <n v="171.43"/>
    <n v="3"/>
    <s v="Not Out"/>
    <s v="Loss"/>
    <n v="56"/>
    <n v="66.666666666666657"/>
  </r>
  <r>
    <n v="24"/>
    <d v="2024-05-04T00:00:00"/>
    <x v="2"/>
    <s v="Royal Challengers Bengaluru"/>
    <s v="Bengluru"/>
    <x v="18"/>
    <n v="14"/>
    <n v="0"/>
    <n v="0"/>
    <n v="42.86"/>
    <n v="3"/>
    <s v="Caught"/>
    <s v="Loss"/>
    <n v="0"/>
    <n v="0"/>
  </r>
  <r>
    <n v="25"/>
    <d v="2024-05-10T00:00:00"/>
    <x v="2"/>
    <s v="Chennai Super Kings"/>
    <s v="Ahmedabad"/>
    <x v="19"/>
    <n v="51"/>
    <n v="5"/>
    <n v="7"/>
    <n v="201.96"/>
    <n v="1"/>
    <s v="Caught"/>
    <s v="Win"/>
    <n v="62"/>
    <n v="60.194174757281552"/>
  </r>
  <r>
    <n v="26"/>
    <d v="2025-03-25T00:00:00"/>
    <x v="3"/>
    <s v="Punjab Kings"/>
    <s v="Ahmedabad"/>
    <x v="20"/>
    <n v="41"/>
    <n v="5"/>
    <n v="6"/>
    <n v="180.49"/>
    <n v="1"/>
    <s v="Caught"/>
    <s v="Loss"/>
    <n v="56"/>
    <n v="75.675675675675677"/>
  </r>
  <r>
    <n v="27"/>
    <d v="2025-03-29T00:00:00"/>
    <x v="3"/>
    <s v="Mumbai Indians"/>
    <s v="Ahmedabad"/>
    <x v="21"/>
    <n v="41"/>
    <n v="4"/>
    <n v="2"/>
    <n v="153.66"/>
    <n v="1"/>
    <s v="LBW"/>
    <s v="Win"/>
    <n v="28"/>
    <n v="44.444444444444443"/>
  </r>
  <r>
    <n v="28"/>
    <d v="2025-04-02T00:00:00"/>
    <x v="3"/>
    <s v="Royal Challengers Bengaluru"/>
    <s v="Bengluru"/>
    <x v="22"/>
    <n v="36"/>
    <n v="7"/>
    <n v="1"/>
    <n v="136.11000000000001"/>
    <n v="1"/>
    <s v="Caught"/>
    <s v="Win"/>
    <n v="34"/>
    <n v="69.387755102040813"/>
  </r>
  <r>
    <n v="29"/>
    <d v="2025-04-06T00:00:00"/>
    <x v="3"/>
    <s v="Sunrisers Hyderabad"/>
    <s v="Hyderabad"/>
    <x v="23"/>
    <n v="9"/>
    <n v="0"/>
    <n v="0"/>
    <n v="55.56"/>
    <n v="1"/>
    <s v="Caught"/>
    <s v="Win"/>
    <n v="0"/>
    <n v="0"/>
  </r>
  <r>
    <n v="30"/>
    <d v="2025-04-09T00:00:00"/>
    <x v="3"/>
    <s v="Rajasthan Royals"/>
    <s v="Ahmedabad"/>
    <x v="24"/>
    <n v="53"/>
    <n v="8"/>
    <n v="3"/>
    <n v="154.72"/>
    <n v="1"/>
    <s v="Caught"/>
    <s v="Win"/>
    <n v="50"/>
    <n v="60.975609756097562"/>
  </r>
  <r>
    <n v="31"/>
    <d v="2025-04-12T00:00:00"/>
    <x v="3"/>
    <s v="Lucknow Super Giants"/>
    <s v="Lucknow"/>
    <x v="25"/>
    <n v="37"/>
    <n v="7"/>
    <n v="1"/>
    <n v="151.35"/>
    <n v="1"/>
    <s v="Caught"/>
    <s v="Loss"/>
    <n v="34"/>
    <n v="60.714285714285708"/>
  </r>
  <r>
    <n v="32"/>
    <d v="2025-04-19T00:00:00"/>
    <x v="3"/>
    <s v="Delhi Capitals"/>
    <s v="Ahmedabad"/>
    <x v="26"/>
    <n v="21"/>
    <n v="5"/>
    <n v="1"/>
    <n v="171.43"/>
    <n v="1"/>
    <s v="Caught"/>
    <s v="Win"/>
    <n v="26"/>
    <n v="72.222222222222214"/>
  </r>
  <r>
    <n v="33"/>
    <d v="2025-04-21T00:00:00"/>
    <x v="3"/>
    <s v=" Kolkata Knight Riders"/>
    <s v="Kolkata"/>
    <x v="27"/>
    <n v="36"/>
    <n v="6"/>
    <n v="1"/>
    <n v="144.44"/>
    <n v="1"/>
    <s v="Caught"/>
    <s v="Win"/>
    <n v="30"/>
    <n v="57.692307692307686"/>
  </r>
  <r>
    <n v="34"/>
    <d v="2025-04-28T00:00:00"/>
    <x v="3"/>
    <s v="Rajasthan Royals"/>
    <s v="Jaipur"/>
    <x v="28"/>
    <n v="30"/>
    <n v="4"/>
    <n v="1"/>
    <n v="130"/>
    <n v="1"/>
    <s v="Caught"/>
    <s v="Loss"/>
    <n v="22"/>
    <n v="56.410256410256409"/>
  </r>
  <r>
    <n v="35"/>
    <d v="2025-05-02T00:00:00"/>
    <x v="3"/>
    <s v="Sunrisers Hyderabad"/>
    <s v="Ahmedabad"/>
    <x v="29"/>
    <n v="23"/>
    <n v="9"/>
    <n v="0"/>
    <n v="208.7"/>
    <n v="1"/>
    <s v="Caught"/>
    <s v="Win"/>
    <n v="36"/>
    <n v="75"/>
  </r>
  <r>
    <n v="36"/>
    <d v="2025-05-06T00:00:00"/>
    <x v="3"/>
    <s v="Mumbai Indians"/>
    <s v="Mumbai"/>
    <x v="23"/>
    <n v="5"/>
    <n v="1"/>
    <n v="0"/>
    <n v="100"/>
    <n v="1"/>
    <s v="Caught"/>
    <s v="Win"/>
    <n v="4"/>
    <n v="80"/>
  </r>
  <r>
    <n v="37"/>
    <d v="2025-05-18T00:00:00"/>
    <x v="3"/>
    <s v="Delhi Capitals"/>
    <s v="Delhi"/>
    <x v="30"/>
    <n v="61"/>
    <n v="12"/>
    <n v="4"/>
    <n v="177.05"/>
    <n v="1"/>
    <s v="Not Out"/>
    <s v="Win"/>
    <n v="72"/>
    <n v="66.666666666666657"/>
  </r>
  <r>
    <n v="38"/>
    <d v="2025-05-22T00:00:00"/>
    <x v="3"/>
    <s v="Lucknow Super Giants"/>
    <s v="Ahmedabad"/>
    <x v="31"/>
    <n v="16"/>
    <n v="4"/>
    <n v="0"/>
    <n v="131.25"/>
    <n v="1"/>
    <s v="Caught"/>
    <s v="Loss"/>
    <n v="16"/>
    <n v="76.19047619047619"/>
  </r>
  <r>
    <n v="39"/>
    <d v="2025-05-25T00:00:00"/>
    <x v="3"/>
    <s v="Chennai Super Kings"/>
    <s v="Ahmedabad"/>
    <x v="32"/>
    <n v="28"/>
    <n v="6"/>
    <n v="0"/>
    <n v="146.43"/>
    <n v="1"/>
    <s v="Caught"/>
    <s v="Loss"/>
    <n v="24"/>
    <n v="58.536585365853654"/>
  </r>
  <r>
    <n v="40"/>
    <d v="2025-05-30T00:00:00"/>
    <x v="3"/>
    <s v="Mumbai Indians"/>
    <s v="Mullanpur"/>
    <x v="33"/>
    <n v="49"/>
    <n v="10"/>
    <n v="1"/>
    <n v="163.27000000000001"/>
    <n v="1"/>
    <s v="Bowled"/>
    <s v="Loss"/>
    <n v="46"/>
    <n v="57.499999999999993"/>
  </r>
  <r>
    <n v="41"/>
    <d v="2026-03-31T00:00:00"/>
    <x v="4"/>
    <s v="Punjab Kings"/>
    <s v="Mullanpur"/>
    <x v="34"/>
    <n v="11"/>
    <n v="2"/>
    <n v="0"/>
    <n v="118.18"/>
    <n v="1"/>
    <s v="Caught"/>
    <s v="Loss"/>
    <n v="8"/>
    <n v="61.53846153846154"/>
  </r>
  <r>
    <n v="42"/>
    <d v="2026-04-04T00:00:00"/>
    <x v="4"/>
    <s v="Rajasthan Royals"/>
    <s v="Ahmedabad"/>
    <x v="35"/>
    <n v="44"/>
    <n v="9"/>
    <n v="3"/>
    <n v="165.91"/>
    <n v="1"/>
    <s v="Caught"/>
    <s v="Loss"/>
    <n v="54"/>
    <n v="73.972602739726028"/>
  </r>
  <r>
    <n v="43"/>
    <d v="2026-04-08T00:00:00"/>
    <x v="4"/>
    <s v="Delhi Capitals"/>
    <s v="Delhi"/>
    <x v="16"/>
    <n v="7"/>
    <n v="2"/>
    <n v="0"/>
    <n v="171.43"/>
    <n v="1"/>
    <s v="Bowled"/>
    <s v="Win"/>
    <n v="8"/>
    <n v="66.666666666666657"/>
  </r>
  <r>
    <n v="44"/>
    <d v="2026-04-12T00:00:00"/>
    <x v="4"/>
    <s v="Lucknow Super Giants"/>
    <s v="Lucknow"/>
    <x v="36"/>
    <n v="14"/>
    <n v="3"/>
    <n v="0"/>
    <n v="107.14"/>
    <n v="1"/>
    <s v="Caught"/>
    <s v="Win"/>
    <n v="12"/>
    <n v="80"/>
  </r>
  <r>
    <n v="45"/>
    <d v="2026-04-17T00:00:00"/>
    <x v="4"/>
    <s v=" Kolkata Knight Riders"/>
    <s v="Ahmedabad"/>
    <x v="5"/>
    <n v="16"/>
    <n v="1"/>
    <n v="2"/>
    <n v="137.5"/>
    <n v="1"/>
    <s v="Caught"/>
    <s v="Win"/>
    <n v="16"/>
    <n v="72.727272727272734"/>
  </r>
  <r>
    <n v="46"/>
    <d v="2026-04-20T00:00:00"/>
    <x v="4"/>
    <s v="Mumbai Indians"/>
    <s v="Ahmedabad"/>
    <x v="37"/>
    <n v="1"/>
    <n v="0"/>
    <n v="0"/>
    <n v="0"/>
    <n v="1"/>
    <s v="Caught"/>
    <s v="Loss"/>
    <n v="0"/>
    <n v="0"/>
  </r>
  <r>
    <n v="47"/>
    <d v="2026-04-24T00:00:00"/>
    <x v="4"/>
    <s v="Royal Challengers Bengaluru"/>
    <s v="Bengluru"/>
    <x v="38"/>
    <n v="58"/>
    <n v="11"/>
    <n v="5"/>
    <n v="172.41"/>
    <n v="1"/>
    <s v="Caught"/>
    <s v="Loss"/>
    <n v="74"/>
    <n v="74"/>
  </r>
  <r>
    <n v="48"/>
    <d v="2026-04-26T00:00:00"/>
    <x v="4"/>
    <s v="Chennai Super Kings"/>
    <s v="Chennai"/>
    <x v="39"/>
    <n v="46"/>
    <n v="4"/>
    <n v="7"/>
    <n v="189.13"/>
    <n v="1"/>
    <s v="Caught"/>
    <s v="Win"/>
    <n v="58"/>
    <n v="66.666666666666657"/>
  </r>
  <r>
    <n v="49"/>
    <d v="2026-04-30T00:00:00"/>
    <x v="4"/>
    <s v="Royal Challengers Bengaluru"/>
    <s v="Ahmedabad"/>
    <x v="18"/>
    <n v="5"/>
    <n v="1"/>
    <n v="0"/>
    <n v="120"/>
    <n v="1"/>
    <s v="Caught"/>
    <s v="Win"/>
    <n v="4"/>
    <n v="66.666666666666657"/>
  </r>
  <r>
    <n v="50"/>
    <d v="2026-05-03T00:00:00"/>
    <x v="4"/>
    <s v="Punjab Kings"/>
    <s v="Ahmedabad"/>
    <x v="40"/>
    <n v="41"/>
    <n v="5"/>
    <n v="1"/>
    <n v="139.02000000000001"/>
    <n v="1"/>
    <s v="Caught"/>
    <s v="Win"/>
    <n v="26"/>
    <n v="45.614035087719294"/>
  </r>
  <r>
    <n v="51"/>
    <d v="2026-05-09T00:00:00"/>
    <x v="4"/>
    <s v="Rajasthan Royals"/>
    <s v="Jaipur"/>
    <x v="41"/>
    <n v="36"/>
    <n v="6"/>
    <n v="2"/>
    <n v="152.78"/>
    <n v="1"/>
    <s v="Caught"/>
    <s v="Win"/>
    <n v="36"/>
    <n v="65.454545454545453"/>
  </r>
  <r>
    <n v="52"/>
    <d v="2026-05-12T00:00:00"/>
    <x v="4"/>
    <s v="Sunrisers Hyderabad"/>
    <s v="Ahmedabad"/>
    <x v="42"/>
    <n v="44"/>
    <n v="5"/>
    <n v="2"/>
    <n v="138.63999999999999"/>
    <n v="1"/>
    <s v="Caught"/>
    <s v="Win"/>
    <n v="32"/>
    <n v="52.459016393442624"/>
  </r>
  <r>
    <n v="53"/>
    <d v="2026-05-16T00:00:00"/>
    <x v="4"/>
    <s v=" Kolkata Knight Riders"/>
    <s v="Kolkata"/>
    <x v="7"/>
    <n v="28"/>
    <n v="6"/>
    <n v="3"/>
    <n v="189.29"/>
    <n v="1"/>
    <s v="Not Out"/>
    <s v="Loss"/>
    <n v="42"/>
    <n v="79.245283018867923"/>
  </r>
  <r>
    <n v="54"/>
    <d v="2026-05-21T00:00:00"/>
    <x v="4"/>
    <s v="Chennai Super Kings"/>
    <s v="Ahmedabad"/>
    <x v="17"/>
    <n v="53"/>
    <n v="7"/>
    <n v="4"/>
    <n v="158.49"/>
    <n v="1"/>
    <s v="Caught"/>
    <s v="Win"/>
    <n v="52"/>
    <n v="61.904761904761905"/>
  </r>
  <r>
    <n v="55"/>
    <d v="2026-05-26T00:00:00"/>
    <x v="4"/>
    <s v="Royal Challengers Bengaluru"/>
    <s v="Himachal Pradesh"/>
    <x v="4"/>
    <n v="9"/>
    <n v="3"/>
    <n v="0"/>
    <n v="155.56"/>
    <n v="1"/>
    <s v="Hit Wicket"/>
    <s v="Loss"/>
    <n v="12"/>
    <n v="85.714285714285708"/>
  </r>
  <r>
    <n v="56"/>
    <d v="2026-05-29T00:00:00"/>
    <x v="4"/>
    <s v="Rajasthan Royals"/>
    <s v="Mullanpur"/>
    <x v="43"/>
    <n v="32"/>
    <n v="8"/>
    <n v="1"/>
    <n v="181.25"/>
    <n v="1"/>
    <s v="Hit Wicket"/>
    <s v="Win"/>
    <n v="38"/>
    <n v="65.517241379310349"/>
  </r>
  <r>
    <n v="57"/>
    <d v="2026-05-31T00:00:00"/>
    <x v="4"/>
    <s v="Royal Challengers Bengaluru"/>
    <s v="Ahmedabad"/>
    <x v="16"/>
    <n v="12"/>
    <n v="2"/>
    <n v="0"/>
    <n v="100"/>
    <n v="1"/>
    <s v="Caught"/>
    <s v="Loss"/>
    <n v="8"/>
    <n v="66.66666666666665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AC10FA-E1DF-4D30-A46E-40A183F5A6C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9" firstHeaderRow="0" firstDataRow="1" firstDataCol="1"/>
  <pivotFields count="16">
    <pivotField showAll="0"/>
    <pivotField numFmtId="14"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dataField="1" showAll="0">
      <items count="45">
        <item x="37"/>
        <item x="23"/>
        <item x="18"/>
        <item x="1"/>
        <item x="16"/>
        <item x="34"/>
        <item x="4"/>
        <item x="36"/>
        <item x="8"/>
        <item x="2"/>
        <item x="31"/>
        <item x="5"/>
        <item x="15"/>
        <item x="14"/>
        <item x="0"/>
        <item x="26"/>
        <item x="13"/>
        <item x="28"/>
        <item x="32"/>
        <item x="10"/>
        <item x="12"/>
        <item x="9"/>
        <item x="29"/>
        <item x="22"/>
        <item x="27"/>
        <item x="7"/>
        <item x="41"/>
        <item x="25"/>
        <item x="40"/>
        <item x="43"/>
        <item x="42"/>
        <item x="6"/>
        <item x="21"/>
        <item x="3"/>
        <item x="35"/>
        <item x="20"/>
        <item x="33"/>
        <item x="24"/>
        <item x="17"/>
        <item x="39"/>
        <item x="11"/>
        <item x="38"/>
        <item x="19"/>
        <item x="30"/>
        <item t="default"/>
      </items>
    </pivotField>
    <pivotField dataField="1" showAll="0"/>
    <pivotField dataField="1" showAll="0"/>
    <pivotField dataField="1" showAll="0"/>
    <pivotField showAll="0"/>
    <pivotField showAll="0"/>
    <pivotField showAll="0"/>
    <pivotField showAll="0"/>
    <pivotField dataField="1" showAll="0"/>
    <pivotField numFmtId="2" showAll="0"/>
    <pivotField dataField="1" dragToRow="0" dragToCol="0" dragToPage="0" showAll="0" defaultSubtota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Runs " fld="5" baseField="0" baseItem="0"/>
    <dataField name="Balls" fld="6" baseField="2" baseItem="0"/>
    <dataField name="Sum of Fours" fld="7" baseField="0" baseItem="0"/>
    <dataField name="Sum of Sixes" fld="8" baseField="0" baseItem="0"/>
    <dataField name="Sum of Boundary_Runs" fld="13" baseField="0" baseItem="0"/>
    <dataField name="Strike Rate" fld="15" subtotal="average" baseField="2" baseItem="0" numFmtId="2"/>
  </dataFields>
  <formats count="26"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2" type="button" dataOnly="0" labelOnly="1" outline="0" axis="axisRow" fieldPosition="0"/>
    </format>
    <format dxfId="22">
      <pivotArea dataOnly="0" labelOnly="1" fieldPosition="0">
        <references count="1">
          <reference field="2" count="0"/>
        </references>
      </pivotArea>
    </format>
    <format dxfId="21">
      <pivotArea dataOnly="0" labelOnly="1" grandRow="1" outline="0" fieldPosition="0"/>
    </format>
    <format dxfId="20">
      <pivotArea dataOnly="0" labelOnly="1" outline="0" fieldPosition="0">
        <references count="1">
          <reference field="4294967294" count="3">
            <x v="0"/>
            <x v="2"/>
            <x v="3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2" type="button" dataOnly="0" labelOnly="1" outline="0" axis="axisRow" fieldPosition="0"/>
    </format>
    <format dxfId="16">
      <pivotArea dataOnly="0" labelOnly="1" fieldPosition="0">
        <references count="1">
          <reference field="2" count="0"/>
        </references>
      </pivotArea>
    </format>
    <format dxfId="15">
      <pivotArea dataOnly="0" labelOnly="1" grandRow="1" outline="0" fieldPosition="0"/>
    </format>
    <format dxfId="14">
      <pivotArea dataOnly="0" labelOnly="1" outline="0" fieldPosition="0">
        <references count="1">
          <reference field="4294967294" count="3">
            <x v="0"/>
            <x v="2"/>
            <x v="3"/>
          </reference>
        </references>
      </pivotArea>
    </format>
    <format dxfId="13">
      <pivotArea type="all" dataOnly="0" outline="0" fieldPosition="0"/>
    </format>
    <format dxfId="12">
      <pivotArea outline="0" fieldPosition="0">
        <references count="1">
          <reference field="4294967294" count="1">
            <x v="5"/>
          </reference>
        </references>
      </pivotArea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2" type="button" dataOnly="0" labelOnly="1" outline="0" axis="axisRow" fieldPosition="0"/>
    </format>
    <format dxfId="8">
      <pivotArea dataOnly="0" labelOnly="1" fieldPosition="0">
        <references count="1">
          <reference field="2" count="0"/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5">
            <x v="0"/>
            <x v="2"/>
            <x v="3"/>
            <x v="4"/>
            <x v="5"/>
          </reference>
        </references>
      </pivotArea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2" type="button" dataOnly="0" labelOnly="1" outline="0" axis="axisRow" fieldPosition="0"/>
    </format>
    <format dxfId="2">
      <pivotArea dataOnly="0" labelOnly="1" fieldPosition="0">
        <references count="1">
          <reference field="2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5">
            <x v="0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E731F8-123D-41B7-8930-B15B3E76C412}" name="Table1" displayName="Table1" ref="C3:Q60" totalsRowShown="0" headerRowDxfId="45" dataDxfId="43" headerRowBorderDxfId="44" tableBorderDxfId="42" totalsRowBorderDxfId="41">
  <autoFilter ref="C3:Q60" xr:uid="{5CE731F8-123D-41B7-8930-B15B3E76C412}"/>
  <tableColumns count="15">
    <tableColumn id="1" xr3:uid="{8D19AAD6-378B-41E4-A64D-91DB4BD303E2}" name="Inning No" dataDxfId="40"/>
    <tableColumn id="2" xr3:uid="{BB88DCFF-C961-4CC8-BE39-D79642560855}" name="Match_date " dataDxfId="39"/>
    <tableColumn id="15" xr3:uid="{FE0BFF25-680B-4B6F-8864-5347E2386197}" name="Season" dataDxfId="38"/>
    <tableColumn id="3" xr3:uid="{A34DF86C-F270-4C4A-A4C2-89A43816479A}" name="Opponent" dataDxfId="37"/>
    <tableColumn id="4" xr3:uid="{568A0347-77EA-4B11-85E2-0B1791AFAD83}" name="Venue" dataDxfId="36"/>
    <tableColumn id="5" xr3:uid="{AADEC54A-5C94-47DD-83E4-9E47E7D40BFF}" name="Runs " dataDxfId="35"/>
    <tableColumn id="6" xr3:uid="{72369E34-7717-4807-88E2-C9D4ADD249FF}" name="Balls " dataDxfId="34"/>
    <tableColumn id="7" xr3:uid="{23194D7D-D5FC-491B-A88D-6DCDBD1AD803}" name="Fours" dataDxfId="33"/>
    <tableColumn id="8" xr3:uid="{22FC6FC0-41B5-44EB-B3FE-E646B0A523CC}" name="Sixes" dataDxfId="32"/>
    <tableColumn id="9" xr3:uid="{1AAFA340-A01D-472E-927A-E069CB2A1DE0}" name="Strike_Rate" dataDxfId="31">
      <calculatedColumnFormula>ROUND((H4/I4)*100,2)</calculatedColumnFormula>
    </tableColumn>
    <tableColumn id="14" xr3:uid="{63CB5FBC-0239-45D6-A4BB-433352C27DB3}" name="Batting_Position" dataDxfId="30"/>
    <tableColumn id="10" xr3:uid="{F551C001-0ED5-4C72-A460-D633EDA82E62}" name="Dismissal " dataDxfId="29"/>
    <tableColumn id="11" xr3:uid="{728F2F50-C0DD-4E7A-B629-17836FF324BB}" name="Result " dataDxfId="28"/>
    <tableColumn id="12" xr3:uid="{42FEAA6A-758A-41A3-916D-F814390CFEC0}" name="Boundary_Runs" dataDxfId="27">
      <calculatedColumnFormula>(J4*4)+(K4*6)</calculatedColumnFormula>
    </tableColumn>
    <tableColumn id="13" xr3:uid="{0D5D7BCD-C0B8-4B18-AE86-DFB5B429E66A}" name="Boundary_percentage" dataDxfId="26" dataCellStyle="Percent">
      <calculatedColumnFormula>IF(H4=0,0,P4/H4)*100</calculatedColumnFormula>
    </tableColumn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9A933-5A12-4F6D-B7D5-D79C0819DF6E}">
  <dimension ref="A1:G9"/>
  <sheetViews>
    <sheetView workbookViewId="0">
      <selection activeCell="H11" sqref="H11"/>
    </sheetView>
  </sheetViews>
  <sheetFormatPr defaultRowHeight="14.4" x14ac:dyDescent="0.3"/>
  <cols>
    <col min="1" max="1" width="14.6640625" bestFit="1" customWidth="1"/>
    <col min="2" max="2" width="11.33203125" bestFit="1" customWidth="1"/>
    <col min="3" max="3" width="8.88671875" customWidth="1"/>
    <col min="4" max="4" width="11.5546875" bestFit="1" customWidth="1"/>
    <col min="5" max="5" width="11.44140625" bestFit="1" customWidth="1"/>
    <col min="6" max="6" width="19.77734375" bestFit="1" customWidth="1"/>
    <col min="7" max="7" width="10.109375" bestFit="1" customWidth="1"/>
    <col min="8" max="8" width="11.44140625" bestFit="1" customWidth="1"/>
    <col min="9" max="42" width="3" bestFit="1" customWidth="1"/>
    <col min="43" max="45" width="4" bestFit="1" customWidth="1"/>
    <col min="46" max="46" width="10.5546875" bestFit="1" customWidth="1"/>
  </cols>
  <sheetData>
    <row r="1" spans="1:7" ht="15" thickBot="1" x14ac:dyDescent="0.35">
      <c r="A1" s="22"/>
      <c r="B1" s="21"/>
      <c r="C1" s="21"/>
      <c r="D1" s="21"/>
      <c r="E1" s="21"/>
    </row>
    <row r="2" spans="1:7" ht="18.600000000000001" thickBot="1" x14ac:dyDescent="0.35">
      <c r="A2" s="36" t="s">
        <v>51</v>
      </c>
      <c r="B2" s="37"/>
      <c r="C2" s="37"/>
      <c r="D2" s="37"/>
      <c r="E2" s="37"/>
      <c r="F2" s="37"/>
      <c r="G2" s="38"/>
    </row>
    <row r="3" spans="1:7" ht="15" thickBot="1" x14ac:dyDescent="0.35">
      <c r="A3" s="29" t="s">
        <v>47</v>
      </c>
      <c r="B3" s="30" t="s">
        <v>38</v>
      </c>
      <c r="C3" s="31" t="s">
        <v>53</v>
      </c>
      <c r="D3" s="32" t="s">
        <v>48</v>
      </c>
      <c r="E3" s="33" t="s">
        <v>49</v>
      </c>
      <c r="F3" s="33" t="s">
        <v>50</v>
      </c>
      <c r="G3" s="34" t="s">
        <v>52</v>
      </c>
    </row>
    <row r="4" spans="1:7" x14ac:dyDescent="0.3">
      <c r="A4" s="27">
        <v>2022</v>
      </c>
      <c r="B4" s="25">
        <v>145</v>
      </c>
      <c r="C4" s="23">
        <v>114</v>
      </c>
      <c r="D4" s="23">
        <v>14</v>
      </c>
      <c r="E4" s="23">
        <v>3</v>
      </c>
      <c r="F4" s="23">
        <v>74</v>
      </c>
      <c r="G4" s="16">
        <v>127.19298245614034</v>
      </c>
    </row>
    <row r="5" spans="1:7" x14ac:dyDescent="0.3">
      <c r="A5" s="27">
        <v>2023</v>
      </c>
      <c r="B5" s="25">
        <v>362</v>
      </c>
      <c r="C5" s="23">
        <v>256</v>
      </c>
      <c r="D5" s="23">
        <v>33</v>
      </c>
      <c r="E5" s="23">
        <v>12</v>
      </c>
      <c r="F5" s="23">
        <v>204</v>
      </c>
      <c r="G5" s="16">
        <v>141.40625</v>
      </c>
    </row>
    <row r="6" spans="1:7" x14ac:dyDescent="0.3">
      <c r="A6" s="27">
        <v>2024</v>
      </c>
      <c r="B6" s="25">
        <v>527</v>
      </c>
      <c r="C6" s="23">
        <v>373</v>
      </c>
      <c r="D6" s="23">
        <v>48</v>
      </c>
      <c r="E6" s="23">
        <v>16</v>
      </c>
      <c r="F6" s="23">
        <v>288</v>
      </c>
      <c r="G6" s="16">
        <v>141.28686327077747</v>
      </c>
    </row>
    <row r="7" spans="1:7" x14ac:dyDescent="0.3">
      <c r="A7" s="27">
        <v>2025</v>
      </c>
      <c r="B7" s="25">
        <v>759</v>
      </c>
      <c r="C7" s="23">
        <v>486</v>
      </c>
      <c r="D7" s="23">
        <v>88</v>
      </c>
      <c r="E7" s="23">
        <v>21</v>
      </c>
      <c r="F7" s="23">
        <v>478</v>
      </c>
      <c r="G7" s="16">
        <v>156.17283950617283</v>
      </c>
    </row>
    <row r="8" spans="1:7" ht="15" thickBot="1" x14ac:dyDescent="0.35">
      <c r="A8" s="28">
        <v>2026</v>
      </c>
      <c r="B8" s="25">
        <v>722</v>
      </c>
      <c r="C8" s="23">
        <v>457</v>
      </c>
      <c r="D8" s="23">
        <v>75</v>
      </c>
      <c r="E8" s="23">
        <v>30</v>
      </c>
      <c r="F8" s="23">
        <v>480</v>
      </c>
      <c r="G8" s="16">
        <v>157.98687089715534</v>
      </c>
    </row>
    <row r="9" spans="1:7" ht="15" thickBot="1" x14ac:dyDescent="0.35">
      <c r="A9" s="28" t="s">
        <v>39</v>
      </c>
      <c r="B9" s="26">
        <v>2515</v>
      </c>
      <c r="C9" s="24">
        <v>1686</v>
      </c>
      <c r="D9" s="24">
        <v>258</v>
      </c>
      <c r="E9" s="24">
        <v>82</v>
      </c>
      <c r="F9" s="24">
        <v>1524</v>
      </c>
      <c r="G9" s="17">
        <v>149.16963226571767</v>
      </c>
    </row>
  </sheetData>
  <mergeCells count="1">
    <mergeCell ref="A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F3F8B-0D39-423E-9A86-887867BDB085}">
  <dimension ref="C2:Q67"/>
  <sheetViews>
    <sheetView tabSelected="1" topLeftCell="C1" zoomScale="85" zoomScaleNormal="102" workbookViewId="0">
      <selection activeCell="J1" sqref="J1"/>
    </sheetView>
  </sheetViews>
  <sheetFormatPr defaultRowHeight="14.4" x14ac:dyDescent="0.3"/>
  <cols>
    <col min="2" max="2" width="15.33203125" bestFit="1" customWidth="1"/>
    <col min="3" max="3" width="21.21875" bestFit="1" customWidth="1"/>
    <col min="4" max="4" width="17.77734375" customWidth="1"/>
    <col min="5" max="5" width="19.109375" customWidth="1"/>
    <col min="6" max="6" width="31" bestFit="1" customWidth="1"/>
    <col min="7" max="7" width="23.77734375" bestFit="1" customWidth="1"/>
    <col min="8" max="8" width="16.109375" customWidth="1"/>
    <col min="9" max="9" width="16.5546875" customWidth="1"/>
    <col min="10" max="10" width="20" customWidth="1"/>
    <col min="11" max="11" width="21" customWidth="1"/>
    <col min="12" max="12" width="24.6640625" customWidth="1"/>
    <col min="13" max="13" width="25.109375" customWidth="1"/>
    <col min="14" max="14" width="27.21875" customWidth="1"/>
    <col min="15" max="15" width="26.33203125" customWidth="1"/>
    <col min="16" max="16" width="28.5546875" bestFit="1" customWidth="1"/>
    <col min="17" max="17" width="34.33203125" style="19" customWidth="1"/>
  </cols>
  <sheetData>
    <row r="2" spans="3:17" ht="15" thickBot="1" x14ac:dyDescent="0.35"/>
    <row r="3" spans="3:17" ht="21.6" thickBot="1" x14ac:dyDescent="0.45">
      <c r="C3" s="5" t="s">
        <v>40</v>
      </c>
      <c r="D3" s="6" t="s">
        <v>41</v>
      </c>
      <c r="E3" s="6" t="s">
        <v>11</v>
      </c>
      <c r="F3" s="6" t="s">
        <v>0</v>
      </c>
      <c r="G3" s="6" t="s">
        <v>1</v>
      </c>
      <c r="H3" s="11" t="s">
        <v>2</v>
      </c>
      <c r="I3" s="11" t="s">
        <v>46</v>
      </c>
      <c r="J3" s="11" t="s">
        <v>3</v>
      </c>
      <c r="K3" s="11" t="s">
        <v>4</v>
      </c>
      <c r="L3" s="6" t="s">
        <v>42</v>
      </c>
      <c r="M3" s="6" t="s">
        <v>43</v>
      </c>
      <c r="N3" s="6" t="s">
        <v>5</v>
      </c>
      <c r="O3" s="6" t="s">
        <v>6</v>
      </c>
      <c r="P3" s="6" t="s">
        <v>44</v>
      </c>
      <c r="Q3" s="20" t="s">
        <v>45</v>
      </c>
    </row>
    <row r="4" spans="3:17" ht="18" x14ac:dyDescent="0.35">
      <c r="C4" s="1">
        <v>1</v>
      </c>
      <c r="D4" s="7">
        <v>44659</v>
      </c>
      <c r="E4" s="2">
        <v>2022</v>
      </c>
      <c r="F4" s="2" t="s">
        <v>7</v>
      </c>
      <c r="G4" s="2" t="s">
        <v>8</v>
      </c>
      <c r="H4" s="12">
        <v>35</v>
      </c>
      <c r="I4" s="12">
        <v>30</v>
      </c>
      <c r="J4" s="12">
        <v>4</v>
      </c>
      <c r="K4" s="12">
        <v>1</v>
      </c>
      <c r="L4" s="8">
        <f>ROUND((H4/I4)*100,2)</f>
        <v>116.67</v>
      </c>
      <c r="M4" s="8">
        <v>3</v>
      </c>
      <c r="N4" s="2" t="s">
        <v>9</v>
      </c>
      <c r="O4" s="2" t="s">
        <v>10</v>
      </c>
      <c r="P4" s="2">
        <f t="shared" ref="P4:P35" si="0">(J4*4)+(K4*6)</f>
        <v>22</v>
      </c>
      <c r="Q4" s="18">
        <f t="shared" ref="Q4:Q35" si="1">IF(H4=0,0,P4/H4)*100</f>
        <v>62.857142857142854</v>
      </c>
    </row>
    <row r="5" spans="3:17" ht="18" x14ac:dyDescent="0.35">
      <c r="C5" s="1">
        <v>2</v>
      </c>
      <c r="D5" s="7">
        <v>44662</v>
      </c>
      <c r="E5" s="2">
        <v>2022</v>
      </c>
      <c r="F5" s="3" t="s">
        <v>13</v>
      </c>
      <c r="G5" s="3" t="s">
        <v>8</v>
      </c>
      <c r="H5" s="13">
        <v>11</v>
      </c>
      <c r="I5" s="13">
        <v>9</v>
      </c>
      <c r="J5" s="13">
        <v>2</v>
      </c>
      <c r="K5" s="13">
        <v>0</v>
      </c>
      <c r="L5" s="3">
        <f t="shared" ref="L5:L35" si="2">ROUND((H5/I5)*100,2)</f>
        <v>122.22</v>
      </c>
      <c r="M5" s="2">
        <v>3</v>
      </c>
      <c r="N5" s="2" t="s">
        <v>9</v>
      </c>
      <c r="O5" s="3" t="s">
        <v>16</v>
      </c>
      <c r="P5" s="2">
        <f t="shared" si="0"/>
        <v>8</v>
      </c>
      <c r="Q5" s="18">
        <f t="shared" si="1"/>
        <v>72.727272727272734</v>
      </c>
    </row>
    <row r="6" spans="3:17" ht="18" x14ac:dyDescent="0.35">
      <c r="C6" s="1">
        <v>3</v>
      </c>
      <c r="D6" s="10">
        <v>44681</v>
      </c>
      <c r="E6" s="3">
        <v>2022</v>
      </c>
      <c r="F6" s="3" t="s">
        <v>12</v>
      </c>
      <c r="G6" s="3" t="s">
        <v>8</v>
      </c>
      <c r="H6" s="13">
        <v>20</v>
      </c>
      <c r="I6" s="13">
        <v>14</v>
      </c>
      <c r="J6" s="13">
        <v>2</v>
      </c>
      <c r="K6" s="13">
        <v>0</v>
      </c>
      <c r="L6" s="3">
        <f t="shared" si="2"/>
        <v>142.86000000000001</v>
      </c>
      <c r="M6" s="3">
        <v>3</v>
      </c>
      <c r="N6" s="3" t="s">
        <v>9</v>
      </c>
      <c r="O6" s="3" t="s">
        <v>10</v>
      </c>
      <c r="P6" s="3">
        <f t="shared" si="0"/>
        <v>8</v>
      </c>
      <c r="Q6" s="18">
        <f t="shared" si="1"/>
        <v>40</v>
      </c>
    </row>
    <row r="7" spans="3:17" ht="18" x14ac:dyDescent="0.35">
      <c r="C7" s="1">
        <v>4</v>
      </c>
      <c r="D7" s="10">
        <v>44684</v>
      </c>
      <c r="E7" s="3">
        <v>2022</v>
      </c>
      <c r="F7" s="3" t="s">
        <v>7</v>
      </c>
      <c r="G7" s="3" t="s">
        <v>8</v>
      </c>
      <c r="H7" s="13">
        <v>65</v>
      </c>
      <c r="I7" s="13">
        <v>50</v>
      </c>
      <c r="J7" s="13">
        <v>5</v>
      </c>
      <c r="K7" s="13">
        <v>1</v>
      </c>
      <c r="L7" s="3">
        <f t="shared" si="2"/>
        <v>130</v>
      </c>
      <c r="M7" s="3">
        <v>3</v>
      </c>
      <c r="N7" s="3" t="s">
        <v>54</v>
      </c>
      <c r="O7" s="3" t="s">
        <v>16</v>
      </c>
      <c r="P7" s="3">
        <f t="shared" si="0"/>
        <v>26</v>
      </c>
      <c r="Q7" s="18">
        <f t="shared" si="1"/>
        <v>40</v>
      </c>
    </row>
    <row r="8" spans="3:17" ht="18" x14ac:dyDescent="0.35">
      <c r="C8" s="1">
        <v>5</v>
      </c>
      <c r="D8" s="10">
        <v>44687</v>
      </c>
      <c r="E8" s="3">
        <v>2022</v>
      </c>
      <c r="F8" s="3" t="s">
        <v>14</v>
      </c>
      <c r="G8" s="3" t="s">
        <v>8</v>
      </c>
      <c r="H8" s="13">
        <v>14</v>
      </c>
      <c r="I8" s="13">
        <v>11</v>
      </c>
      <c r="J8" s="13">
        <v>1</v>
      </c>
      <c r="K8" s="13">
        <v>1</v>
      </c>
      <c r="L8" s="3">
        <f t="shared" si="2"/>
        <v>127.27</v>
      </c>
      <c r="M8" s="3">
        <v>4</v>
      </c>
      <c r="N8" s="3" t="s">
        <v>15</v>
      </c>
      <c r="O8" s="3" t="s">
        <v>16</v>
      </c>
      <c r="P8" s="3">
        <f t="shared" si="0"/>
        <v>10</v>
      </c>
      <c r="Q8" s="18">
        <f t="shared" si="1"/>
        <v>71.428571428571431</v>
      </c>
    </row>
    <row r="9" spans="3:17" ht="18" x14ac:dyDescent="0.35">
      <c r="C9" s="1">
        <v>6</v>
      </c>
      <c r="D9" s="10">
        <v>45016</v>
      </c>
      <c r="E9" s="3">
        <v>2023</v>
      </c>
      <c r="F9" s="3" t="s">
        <v>17</v>
      </c>
      <c r="G9" s="3" t="s">
        <v>20</v>
      </c>
      <c r="H9" s="13">
        <v>22</v>
      </c>
      <c r="I9" s="13">
        <v>17</v>
      </c>
      <c r="J9" s="13">
        <v>3</v>
      </c>
      <c r="K9" s="13">
        <v>0</v>
      </c>
      <c r="L9" s="3">
        <f t="shared" si="2"/>
        <v>129.41</v>
      </c>
      <c r="M9" s="3">
        <v>3</v>
      </c>
      <c r="N9" s="3" t="s">
        <v>9</v>
      </c>
      <c r="O9" s="3" t="s">
        <v>10</v>
      </c>
      <c r="P9" s="3">
        <f t="shared" si="0"/>
        <v>12</v>
      </c>
      <c r="Q9" s="18">
        <f t="shared" si="1"/>
        <v>54.54545454545454</v>
      </c>
    </row>
    <row r="10" spans="3:17" ht="18" x14ac:dyDescent="0.35">
      <c r="C10" s="1">
        <v>7</v>
      </c>
      <c r="D10" s="10">
        <v>45020</v>
      </c>
      <c r="E10" s="3">
        <v>2023</v>
      </c>
      <c r="F10" s="3" t="s">
        <v>18</v>
      </c>
      <c r="G10" s="3" t="s">
        <v>21</v>
      </c>
      <c r="H10" s="13">
        <v>62</v>
      </c>
      <c r="I10" s="13">
        <v>48</v>
      </c>
      <c r="J10" s="13">
        <v>4</v>
      </c>
      <c r="K10" s="13">
        <v>2</v>
      </c>
      <c r="L10" s="3">
        <f t="shared" si="2"/>
        <v>129.16999999999999</v>
      </c>
      <c r="M10" s="3">
        <v>3</v>
      </c>
      <c r="N10" s="3" t="s">
        <v>23</v>
      </c>
      <c r="O10" s="3" t="s">
        <v>10</v>
      </c>
      <c r="P10" s="3">
        <f t="shared" si="0"/>
        <v>28</v>
      </c>
      <c r="Q10" s="18">
        <f t="shared" si="1"/>
        <v>45.161290322580641</v>
      </c>
    </row>
    <row r="11" spans="3:17" ht="18" x14ac:dyDescent="0.35">
      <c r="C11" s="1">
        <v>8</v>
      </c>
      <c r="D11" s="10">
        <v>45025</v>
      </c>
      <c r="E11" s="3">
        <v>2023</v>
      </c>
      <c r="F11" s="3" t="s">
        <v>30</v>
      </c>
      <c r="G11" s="3" t="s">
        <v>20</v>
      </c>
      <c r="H11" s="13">
        <v>53</v>
      </c>
      <c r="I11" s="13">
        <v>38</v>
      </c>
      <c r="J11" s="13">
        <v>3</v>
      </c>
      <c r="K11" s="13">
        <v>2</v>
      </c>
      <c r="L11" s="3">
        <f t="shared" si="2"/>
        <v>139.47</v>
      </c>
      <c r="M11" s="3">
        <v>3</v>
      </c>
      <c r="N11" s="3" t="s">
        <v>9</v>
      </c>
      <c r="O11" s="3" t="s">
        <v>16</v>
      </c>
      <c r="P11" s="3">
        <f t="shared" si="0"/>
        <v>24</v>
      </c>
      <c r="Q11" s="18">
        <f t="shared" si="1"/>
        <v>45.283018867924532</v>
      </c>
    </row>
    <row r="12" spans="3:17" ht="18" x14ac:dyDescent="0.35">
      <c r="C12" s="1">
        <v>9</v>
      </c>
      <c r="D12" s="10">
        <v>45029</v>
      </c>
      <c r="E12" s="3">
        <v>2023</v>
      </c>
      <c r="F12" s="3" t="s">
        <v>7</v>
      </c>
      <c r="G12" s="3" t="s">
        <v>22</v>
      </c>
      <c r="H12" s="13">
        <v>19</v>
      </c>
      <c r="I12" s="13">
        <v>20</v>
      </c>
      <c r="J12" s="13">
        <v>2</v>
      </c>
      <c r="K12" s="13">
        <v>0</v>
      </c>
      <c r="L12" s="3">
        <f t="shared" si="2"/>
        <v>95</v>
      </c>
      <c r="M12" s="3">
        <v>3</v>
      </c>
      <c r="N12" s="3" t="s">
        <v>9</v>
      </c>
      <c r="O12" s="3" t="s">
        <v>10</v>
      </c>
      <c r="P12" s="3">
        <f t="shared" si="0"/>
        <v>8</v>
      </c>
      <c r="Q12" s="18">
        <f t="shared" si="1"/>
        <v>42.105263157894733</v>
      </c>
    </row>
    <row r="13" spans="3:17" ht="18" x14ac:dyDescent="0.35">
      <c r="C13" s="1">
        <v>10</v>
      </c>
      <c r="D13" s="10">
        <v>45032</v>
      </c>
      <c r="E13" s="3">
        <v>2023</v>
      </c>
      <c r="F13" s="3" t="s">
        <v>19</v>
      </c>
      <c r="G13" s="3" t="s">
        <v>20</v>
      </c>
      <c r="H13" s="13">
        <v>20</v>
      </c>
      <c r="I13" s="13">
        <v>19</v>
      </c>
      <c r="J13" s="13">
        <v>2</v>
      </c>
      <c r="K13" s="13">
        <v>0</v>
      </c>
      <c r="L13" s="3">
        <f t="shared" si="2"/>
        <v>105.26</v>
      </c>
      <c r="M13" s="3">
        <v>3</v>
      </c>
      <c r="N13" s="3" t="s">
        <v>24</v>
      </c>
      <c r="O13" s="3" t="s">
        <v>16</v>
      </c>
      <c r="P13" s="3">
        <f t="shared" si="0"/>
        <v>8</v>
      </c>
      <c r="Q13" s="18">
        <f t="shared" si="1"/>
        <v>40</v>
      </c>
    </row>
    <row r="14" spans="3:17" ht="18" x14ac:dyDescent="0.35">
      <c r="C14" s="1">
        <v>11</v>
      </c>
      <c r="D14" s="10">
        <v>45061</v>
      </c>
      <c r="E14" s="3">
        <v>2023</v>
      </c>
      <c r="F14" s="3" t="s">
        <v>13</v>
      </c>
      <c r="G14" s="3" t="s">
        <v>20</v>
      </c>
      <c r="H14" s="13">
        <v>47</v>
      </c>
      <c r="I14" s="13">
        <v>36</v>
      </c>
      <c r="J14" s="13">
        <v>6</v>
      </c>
      <c r="K14" s="13">
        <v>1</v>
      </c>
      <c r="L14" s="3">
        <f t="shared" si="2"/>
        <v>130.56</v>
      </c>
      <c r="M14" s="3">
        <v>3</v>
      </c>
      <c r="N14" s="3" t="s">
        <v>9</v>
      </c>
      <c r="O14" s="3" t="s">
        <v>10</v>
      </c>
      <c r="P14" s="3">
        <f t="shared" si="0"/>
        <v>30</v>
      </c>
      <c r="Q14" s="18">
        <f t="shared" si="1"/>
        <v>63.829787234042556</v>
      </c>
    </row>
    <row r="15" spans="3:17" ht="18" x14ac:dyDescent="0.35">
      <c r="C15" s="1">
        <v>12</v>
      </c>
      <c r="D15" s="10">
        <v>45072</v>
      </c>
      <c r="E15" s="3">
        <v>2023</v>
      </c>
      <c r="F15" s="3" t="s">
        <v>14</v>
      </c>
      <c r="G15" s="3" t="s">
        <v>20</v>
      </c>
      <c r="H15" s="13">
        <v>43</v>
      </c>
      <c r="I15" s="13">
        <v>31</v>
      </c>
      <c r="J15" s="13">
        <v>5</v>
      </c>
      <c r="K15" s="13">
        <v>1</v>
      </c>
      <c r="L15" s="3">
        <f t="shared" si="2"/>
        <v>138.71</v>
      </c>
      <c r="M15" s="3">
        <v>3</v>
      </c>
      <c r="N15" s="3" t="s">
        <v>28</v>
      </c>
      <c r="O15" s="3" t="s">
        <v>10</v>
      </c>
      <c r="P15" s="3">
        <f t="shared" si="0"/>
        <v>26</v>
      </c>
      <c r="Q15" s="18">
        <f t="shared" si="1"/>
        <v>60.465116279069761</v>
      </c>
    </row>
    <row r="16" spans="3:17" ht="18" x14ac:dyDescent="0.35">
      <c r="C16" s="1">
        <v>13</v>
      </c>
      <c r="D16" s="10">
        <v>45075</v>
      </c>
      <c r="E16" s="3">
        <v>2023</v>
      </c>
      <c r="F16" s="3" t="s">
        <v>17</v>
      </c>
      <c r="G16" s="3" t="s">
        <v>20</v>
      </c>
      <c r="H16" s="13">
        <v>96</v>
      </c>
      <c r="I16" s="13">
        <v>47</v>
      </c>
      <c r="J16" s="13">
        <v>8</v>
      </c>
      <c r="K16" s="13">
        <v>6</v>
      </c>
      <c r="L16" s="3">
        <f t="shared" si="2"/>
        <v>204.26</v>
      </c>
      <c r="M16" s="3">
        <v>3</v>
      </c>
      <c r="N16" s="3" t="s">
        <v>29</v>
      </c>
      <c r="O16" s="3" t="s">
        <v>16</v>
      </c>
      <c r="P16" s="3">
        <f t="shared" si="0"/>
        <v>68</v>
      </c>
      <c r="Q16" s="18">
        <f t="shared" si="1"/>
        <v>70.833333333333343</v>
      </c>
    </row>
    <row r="17" spans="3:17" ht="18" x14ac:dyDescent="0.35">
      <c r="C17" s="1">
        <v>14</v>
      </c>
      <c r="D17" s="10">
        <v>45375</v>
      </c>
      <c r="E17" s="3">
        <v>2024</v>
      </c>
      <c r="F17" s="3" t="s">
        <v>14</v>
      </c>
      <c r="G17" s="3" t="s">
        <v>20</v>
      </c>
      <c r="H17" s="13">
        <v>45</v>
      </c>
      <c r="I17" s="13">
        <v>39</v>
      </c>
      <c r="J17" s="13">
        <v>3</v>
      </c>
      <c r="K17" s="13">
        <v>1</v>
      </c>
      <c r="L17" s="3">
        <f t="shared" si="2"/>
        <v>115.38</v>
      </c>
      <c r="M17" s="3">
        <v>3</v>
      </c>
      <c r="N17" s="3" t="s">
        <v>9</v>
      </c>
      <c r="O17" s="3" t="s">
        <v>10</v>
      </c>
      <c r="P17" s="3">
        <f t="shared" si="0"/>
        <v>18</v>
      </c>
      <c r="Q17" s="18">
        <f t="shared" si="1"/>
        <v>40</v>
      </c>
    </row>
    <row r="18" spans="3:17" ht="18" x14ac:dyDescent="0.35">
      <c r="C18" s="1">
        <v>15</v>
      </c>
      <c r="D18" s="10">
        <v>45377</v>
      </c>
      <c r="E18" s="3">
        <v>2024</v>
      </c>
      <c r="F18" s="3" t="s">
        <v>17</v>
      </c>
      <c r="G18" s="3" t="s">
        <v>25</v>
      </c>
      <c r="H18" s="13">
        <v>37</v>
      </c>
      <c r="I18" s="13">
        <v>31</v>
      </c>
      <c r="J18" s="13">
        <v>3</v>
      </c>
      <c r="K18" s="13">
        <v>0</v>
      </c>
      <c r="L18" s="3">
        <f t="shared" si="2"/>
        <v>119.35</v>
      </c>
      <c r="M18" s="3">
        <v>3</v>
      </c>
      <c r="N18" s="3" t="s">
        <v>9</v>
      </c>
      <c r="O18" s="3" t="s">
        <v>16</v>
      </c>
      <c r="P18" s="3">
        <f t="shared" si="0"/>
        <v>12</v>
      </c>
      <c r="Q18" s="18">
        <f t="shared" si="1"/>
        <v>32.432432432432435</v>
      </c>
    </row>
    <row r="19" spans="3:17" ht="18" x14ac:dyDescent="0.35">
      <c r="C19" s="1">
        <v>16</v>
      </c>
      <c r="D19" s="10">
        <v>45382</v>
      </c>
      <c r="E19" s="3">
        <v>2024</v>
      </c>
      <c r="F19" s="3" t="s">
        <v>13</v>
      </c>
      <c r="G19" s="3" t="s">
        <v>20</v>
      </c>
      <c r="H19" s="13">
        <v>45</v>
      </c>
      <c r="I19" s="13">
        <v>36</v>
      </c>
      <c r="J19" s="13">
        <v>4</v>
      </c>
      <c r="K19" s="13">
        <v>1</v>
      </c>
      <c r="L19" s="3">
        <f t="shared" si="2"/>
        <v>125</v>
      </c>
      <c r="M19" s="3">
        <v>3</v>
      </c>
      <c r="N19" s="3" t="s">
        <v>9</v>
      </c>
      <c r="O19" s="3" t="s">
        <v>10</v>
      </c>
      <c r="P19" s="3">
        <f t="shared" si="0"/>
        <v>22</v>
      </c>
      <c r="Q19" s="18">
        <f t="shared" si="1"/>
        <v>48.888888888888886</v>
      </c>
    </row>
    <row r="20" spans="3:17" ht="18" x14ac:dyDescent="0.35">
      <c r="C20" s="1">
        <v>17</v>
      </c>
      <c r="D20" s="10">
        <v>45386</v>
      </c>
      <c r="E20" s="3">
        <v>2024</v>
      </c>
      <c r="F20" s="3" t="s">
        <v>7</v>
      </c>
      <c r="G20" s="3" t="s">
        <v>20</v>
      </c>
      <c r="H20" s="13">
        <v>33</v>
      </c>
      <c r="I20" s="13">
        <v>19</v>
      </c>
      <c r="J20" s="13">
        <v>6</v>
      </c>
      <c r="K20" s="13">
        <v>0</v>
      </c>
      <c r="L20" s="3">
        <f t="shared" si="2"/>
        <v>173.68</v>
      </c>
      <c r="M20" s="3">
        <v>4</v>
      </c>
      <c r="N20" s="3" t="s">
        <v>9</v>
      </c>
      <c r="O20" s="3" t="s">
        <v>16</v>
      </c>
      <c r="P20" s="3">
        <f t="shared" si="0"/>
        <v>24</v>
      </c>
      <c r="Q20" s="18">
        <f t="shared" si="1"/>
        <v>72.727272727272734</v>
      </c>
    </row>
    <row r="21" spans="3:17" ht="18" x14ac:dyDescent="0.35">
      <c r="C21" s="1">
        <v>18</v>
      </c>
      <c r="D21" s="10">
        <v>45389</v>
      </c>
      <c r="E21" s="3">
        <v>2024</v>
      </c>
      <c r="F21" s="3" t="s">
        <v>31</v>
      </c>
      <c r="G21" s="3" t="s">
        <v>26</v>
      </c>
      <c r="H21" s="13">
        <v>31</v>
      </c>
      <c r="I21" s="13">
        <v>23</v>
      </c>
      <c r="J21" s="13">
        <v>4</v>
      </c>
      <c r="K21" s="13">
        <v>0</v>
      </c>
      <c r="L21" s="3">
        <f t="shared" si="2"/>
        <v>134.78</v>
      </c>
      <c r="M21" s="3">
        <v>1</v>
      </c>
      <c r="N21" s="3" t="s">
        <v>9</v>
      </c>
      <c r="O21" s="3" t="s">
        <v>16</v>
      </c>
      <c r="P21" s="3">
        <f t="shared" si="0"/>
        <v>16</v>
      </c>
      <c r="Q21" s="18">
        <f t="shared" si="1"/>
        <v>51.612903225806448</v>
      </c>
    </row>
    <row r="22" spans="3:17" ht="18" x14ac:dyDescent="0.35">
      <c r="C22" s="1">
        <v>19</v>
      </c>
      <c r="D22" s="10">
        <v>45392</v>
      </c>
      <c r="E22" s="3">
        <v>2024</v>
      </c>
      <c r="F22" s="3" t="s">
        <v>19</v>
      </c>
      <c r="G22" s="3" t="s">
        <v>27</v>
      </c>
      <c r="H22" s="13">
        <v>35</v>
      </c>
      <c r="I22" s="13">
        <v>29</v>
      </c>
      <c r="J22" s="13">
        <v>3</v>
      </c>
      <c r="K22" s="13">
        <v>1</v>
      </c>
      <c r="L22" s="3">
        <f t="shared" si="2"/>
        <v>120.69</v>
      </c>
      <c r="M22" s="3">
        <v>1</v>
      </c>
      <c r="N22" s="3" t="s">
        <v>29</v>
      </c>
      <c r="O22" s="3" t="s">
        <v>10</v>
      </c>
      <c r="P22" s="3">
        <f t="shared" si="0"/>
        <v>18</v>
      </c>
      <c r="Q22" s="18">
        <f t="shared" si="1"/>
        <v>51.428571428571423</v>
      </c>
    </row>
    <row r="23" spans="3:17" ht="18" x14ac:dyDescent="0.35">
      <c r="C23" s="1">
        <v>20</v>
      </c>
      <c r="D23" s="10">
        <v>45399</v>
      </c>
      <c r="E23" s="3">
        <v>2024</v>
      </c>
      <c r="F23" s="3" t="s">
        <v>18</v>
      </c>
      <c r="G23" s="3" t="s">
        <v>20</v>
      </c>
      <c r="H23" s="13">
        <v>12</v>
      </c>
      <c r="I23" s="13">
        <v>9</v>
      </c>
      <c r="J23" s="13">
        <v>2</v>
      </c>
      <c r="K23" s="13">
        <v>0</v>
      </c>
      <c r="L23" s="3">
        <f t="shared" si="2"/>
        <v>133.33000000000001</v>
      </c>
      <c r="M23" s="3">
        <v>3</v>
      </c>
      <c r="N23" s="3" t="s">
        <v>24</v>
      </c>
      <c r="O23" s="3" t="s">
        <v>16</v>
      </c>
      <c r="P23" s="3">
        <f t="shared" si="0"/>
        <v>8</v>
      </c>
      <c r="Q23" s="18">
        <f t="shared" si="1"/>
        <v>66.666666666666657</v>
      </c>
    </row>
    <row r="24" spans="3:17" ht="18" x14ac:dyDescent="0.35">
      <c r="C24" s="1">
        <v>21</v>
      </c>
      <c r="D24" s="10">
        <v>45403</v>
      </c>
      <c r="E24" s="3">
        <v>2024</v>
      </c>
      <c r="F24" s="3" t="s">
        <v>7</v>
      </c>
      <c r="G24" s="3" t="s">
        <v>37</v>
      </c>
      <c r="H24" s="3">
        <v>31</v>
      </c>
      <c r="I24" s="3">
        <v>34</v>
      </c>
      <c r="J24" s="3">
        <v>3</v>
      </c>
      <c r="K24" s="3">
        <v>0</v>
      </c>
      <c r="L24" s="3">
        <f t="shared" si="2"/>
        <v>91.18</v>
      </c>
      <c r="M24" s="3">
        <v>3</v>
      </c>
      <c r="N24" s="3" t="s">
        <v>33</v>
      </c>
      <c r="O24" s="3" t="s">
        <v>10</v>
      </c>
      <c r="P24" s="3">
        <f t="shared" si="0"/>
        <v>12</v>
      </c>
      <c r="Q24" s="18">
        <f t="shared" si="1"/>
        <v>38.70967741935484</v>
      </c>
    </row>
    <row r="25" spans="3:17" ht="18" x14ac:dyDescent="0.35">
      <c r="C25" s="1">
        <v>22</v>
      </c>
      <c r="D25" s="10">
        <v>45406</v>
      </c>
      <c r="E25" s="3">
        <v>2024</v>
      </c>
      <c r="F25" s="3" t="s">
        <v>18</v>
      </c>
      <c r="G25" s="3" t="s">
        <v>21</v>
      </c>
      <c r="H25" s="3">
        <v>65</v>
      </c>
      <c r="I25" s="3">
        <v>39</v>
      </c>
      <c r="J25" s="3">
        <v>7</v>
      </c>
      <c r="K25" s="3">
        <v>2</v>
      </c>
      <c r="L25" s="3">
        <f t="shared" si="2"/>
        <v>166.67</v>
      </c>
      <c r="M25" s="3">
        <v>3</v>
      </c>
      <c r="N25" s="3" t="s">
        <v>9</v>
      </c>
      <c r="O25" s="3" t="s">
        <v>16</v>
      </c>
      <c r="P25" s="3">
        <f t="shared" si="0"/>
        <v>40</v>
      </c>
      <c r="Q25" s="18">
        <f t="shared" si="1"/>
        <v>61.53846153846154</v>
      </c>
    </row>
    <row r="26" spans="3:17" ht="18" x14ac:dyDescent="0.35">
      <c r="C26" s="1">
        <v>23</v>
      </c>
      <c r="D26" s="10">
        <v>45410</v>
      </c>
      <c r="E26" s="3">
        <v>2024</v>
      </c>
      <c r="F26" s="3" t="s">
        <v>12</v>
      </c>
      <c r="G26" s="3" t="s">
        <v>20</v>
      </c>
      <c r="H26" s="3">
        <v>84</v>
      </c>
      <c r="I26" s="3">
        <v>49</v>
      </c>
      <c r="J26" s="3">
        <v>8</v>
      </c>
      <c r="K26" s="3">
        <v>4</v>
      </c>
      <c r="L26" s="3">
        <f t="shared" si="2"/>
        <v>171.43</v>
      </c>
      <c r="M26" s="3">
        <v>3</v>
      </c>
      <c r="N26" s="3" t="s">
        <v>23</v>
      </c>
      <c r="O26" s="3" t="s">
        <v>16</v>
      </c>
      <c r="P26" s="3">
        <f t="shared" si="0"/>
        <v>56</v>
      </c>
      <c r="Q26" s="18">
        <f t="shared" si="1"/>
        <v>66.666666666666657</v>
      </c>
    </row>
    <row r="27" spans="3:17" ht="18" x14ac:dyDescent="0.35">
      <c r="C27" s="1">
        <v>24</v>
      </c>
      <c r="D27" s="10">
        <v>45416</v>
      </c>
      <c r="E27" s="3">
        <v>2024</v>
      </c>
      <c r="F27" s="3" t="s">
        <v>12</v>
      </c>
      <c r="G27" s="3" t="s">
        <v>32</v>
      </c>
      <c r="H27" s="3">
        <v>6</v>
      </c>
      <c r="I27" s="3">
        <v>14</v>
      </c>
      <c r="J27" s="13">
        <v>0</v>
      </c>
      <c r="K27" s="3">
        <v>0</v>
      </c>
      <c r="L27" s="3">
        <f t="shared" si="2"/>
        <v>42.86</v>
      </c>
      <c r="M27" s="3">
        <v>3</v>
      </c>
      <c r="N27" s="3" t="s">
        <v>9</v>
      </c>
      <c r="O27" s="3" t="s">
        <v>16</v>
      </c>
      <c r="P27" s="3">
        <f t="shared" si="0"/>
        <v>0</v>
      </c>
      <c r="Q27" s="18">
        <f t="shared" si="1"/>
        <v>0</v>
      </c>
    </row>
    <row r="28" spans="3:17" ht="18" x14ac:dyDescent="0.35">
      <c r="C28" s="1">
        <v>25</v>
      </c>
      <c r="D28" s="10">
        <v>45422</v>
      </c>
      <c r="E28" s="3">
        <v>2024</v>
      </c>
      <c r="F28" s="3" t="s">
        <v>17</v>
      </c>
      <c r="G28" s="3" t="s">
        <v>20</v>
      </c>
      <c r="H28" s="3">
        <v>103</v>
      </c>
      <c r="I28" s="3">
        <v>51</v>
      </c>
      <c r="J28" s="3">
        <v>5</v>
      </c>
      <c r="K28" s="3">
        <v>7</v>
      </c>
      <c r="L28" s="3">
        <f t="shared" si="2"/>
        <v>201.96</v>
      </c>
      <c r="M28" s="3">
        <v>1</v>
      </c>
      <c r="N28" s="3" t="s">
        <v>9</v>
      </c>
      <c r="O28" s="3" t="s">
        <v>10</v>
      </c>
      <c r="P28" s="3">
        <f t="shared" si="0"/>
        <v>62</v>
      </c>
      <c r="Q28" s="18">
        <f t="shared" si="1"/>
        <v>60.194174757281552</v>
      </c>
    </row>
    <row r="29" spans="3:17" ht="18" x14ac:dyDescent="0.35">
      <c r="C29" s="1">
        <v>26</v>
      </c>
      <c r="D29" s="10">
        <v>45741</v>
      </c>
      <c r="E29" s="3">
        <v>2025</v>
      </c>
      <c r="F29" s="3" t="s">
        <v>7</v>
      </c>
      <c r="G29" s="3" t="s">
        <v>20</v>
      </c>
      <c r="H29" s="3">
        <v>74</v>
      </c>
      <c r="I29" s="3">
        <v>41</v>
      </c>
      <c r="J29" s="3">
        <v>5</v>
      </c>
      <c r="K29" s="3">
        <v>6</v>
      </c>
      <c r="L29" s="3">
        <f t="shared" si="2"/>
        <v>180.49</v>
      </c>
      <c r="M29" s="3">
        <v>1</v>
      </c>
      <c r="N29" s="3" t="s">
        <v>9</v>
      </c>
      <c r="O29" s="3" t="s">
        <v>16</v>
      </c>
      <c r="P29" s="3">
        <f t="shared" si="0"/>
        <v>56</v>
      </c>
      <c r="Q29" s="18">
        <f t="shared" si="1"/>
        <v>75.675675675675677</v>
      </c>
    </row>
    <row r="30" spans="3:17" ht="18" x14ac:dyDescent="0.35">
      <c r="C30" s="1">
        <v>27</v>
      </c>
      <c r="D30" s="10">
        <v>45745</v>
      </c>
      <c r="E30" s="3">
        <v>2025</v>
      </c>
      <c r="F30" s="3" t="s">
        <v>14</v>
      </c>
      <c r="G30" s="3" t="s">
        <v>20</v>
      </c>
      <c r="H30" s="3">
        <v>63</v>
      </c>
      <c r="I30" s="3">
        <v>41</v>
      </c>
      <c r="J30" s="3">
        <v>4</v>
      </c>
      <c r="K30" s="3">
        <v>2</v>
      </c>
      <c r="L30" s="3">
        <f t="shared" si="2"/>
        <v>153.66</v>
      </c>
      <c r="M30" s="3">
        <v>1</v>
      </c>
      <c r="N30" s="3" t="s">
        <v>29</v>
      </c>
      <c r="O30" s="3" t="s">
        <v>10</v>
      </c>
      <c r="P30" s="3">
        <f t="shared" si="0"/>
        <v>28</v>
      </c>
      <c r="Q30" s="18">
        <f t="shared" si="1"/>
        <v>44.444444444444443</v>
      </c>
    </row>
    <row r="31" spans="3:17" ht="18" x14ac:dyDescent="0.35">
      <c r="C31" s="1">
        <v>28</v>
      </c>
      <c r="D31" s="10">
        <v>45749</v>
      </c>
      <c r="E31" s="3">
        <v>2025</v>
      </c>
      <c r="F31" s="3" t="s">
        <v>12</v>
      </c>
      <c r="G31" s="3" t="s">
        <v>32</v>
      </c>
      <c r="H31" s="3">
        <v>49</v>
      </c>
      <c r="I31" s="3">
        <v>36</v>
      </c>
      <c r="J31" s="3">
        <v>7</v>
      </c>
      <c r="K31" s="3">
        <v>1</v>
      </c>
      <c r="L31" s="3">
        <f t="shared" si="2"/>
        <v>136.11000000000001</v>
      </c>
      <c r="M31" s="3">
        <v>1</v>
      </c>
      <c r="N31" s="3" t="s">
        <v>9</v>
      </c>
      <c r="O31" s="3" t="s">
        <v>10</v>
      </c>
      <c r="P31" s="3">
        <f t="shared" si="0"/>
        <v>34</v>
      </c>
      <c r="Q31" s="18">
        <f t="shared" si="1"/>
        <v>69.387755102040813</v>
      </c>
    </row>
    <row r="32" spans="3:17" ht="18" x14ac:dyDescent="0.35">
      <c r="C32" s="1">
        <v>29</v>
      </c>
      <c r="D32" s="10">
        <v>45753</v>
      </c>
      <c r="E32" s="3">
        <v>2025</v>
      </c>
      <c r="F32" s="3" t="s">
        <v>13</v>
      </c>
      <c r="G32" s="3" t="s">
        <v>34</v>
      </c>
      <c r="H32" s="3">
        <v>5</v>
      </c>
      <c r="I32" s="3">
        <v>9</v>
      </c>
      <c r="J32" s="3">
        <v>0</v>
      </c>
      <c r="K32" s="3">
        <v>0</v>
      </c>
      <c r="L32" s="3">
        <f t="shared" si="2"/>
        <v>55.56</v>
      </c>
      <c r="M32" s="3">
        <v>1</v>
      </c>
      <c r="N32" s="3" t="s">
        <v>9</v>
      </c>
      <c r="O32" s="3" t="s">
        <v>10</v>
      </c>
      <c r="P32" s="3">
        <f t="shared" si="0"/>
        <v>0</v>
      </c>
      <c r="Q32" s="18">
        <f t="shared" si="1"/>
        <v>0</v>
      </c>
    </row>
    <row r="33" spans="3:17" ht="18" x14ac:dyDescent="0.35">
      <c r="C33" s="1">
        <v>30</v>
      </c>
      <c r="D33" s="10">
        <v>45756</v>
      </c>
      <c r="E33" s="3">
        <v>2025</v>
      </c>
      <c r="F33" s="3" t="s">
        <v>19</v>
      </c>
      <c r="G33" s="3" t="s">
        <v>20</v>
      </c>
      <c r="H33" s="3">
        <v>82</v>
      </c>
      <c r="I33" s="3">
        <v>53</v>
      </c>
      <c r="J33" s="3">
        <v>8</v>
      </c>
      <c r="K33" s="3">
        <v>3</v>
      </c>
      <c r="L33" s="3">
        <f t="shared" si="2"/>
        <v>154.72</v>
      </c>
      <c r="M33" s="3">
        <v>1</v>
      </c>
      <c r="N33" s="3" t="s">
        <v>9</v>
      </c>
      <c r="O33" s="3" t="s">
        <v>10</v>
      </c>
      <c r="P33" s="3">
        <f t="shared" si="0"/>
        <v>50</v>
      </c>
      <c r="Q33" s="18">
        <f t="shared" si="1"/>
        <v>60.975609756097562</v>
      </c>
    </row>
    <row r="34" spans="3:17" ht="18" x14ac:dyDescent="0.35">
      <c r="C34" s="1">
        <v>31</v>
      </c>
      <c r="D34" s="10">
        <v>45759</v>
      </c>
      <c r="E34" s="3">
        <v>2025</v>
      </c>
      <c r="F34" s="3" t="s">
        <v>31</v>
      </c>
      <c r="G34" s="3" t="s">
        <v>26</v>
      </c>
      <c r="H34" s="3">
        <v>56</v>
      </c>
      <c r="I34" s="3">
        <v>37</v>
      </c>
      <c r="J34" s="3">
        <v>7</v>
      </c>
      <c r="K34" s="3">
        <v>1</v>
      </c>
      <c r="L34" s="3">
        <f t="shared" si="2"/>
        <v>151.35</v>
      </c>
      <c r="M34" s="3">
        <v>1</v>
      </c>
      <c r="N34" s="3" t="s">
        <v>9</v>
      </c>
      <c r="O34" s="3" t="s">
        <v>16</v>
      </c>
      <c r="P34" s="3">
        <f t="shared" si="0"/>
        <v>34</v>
      </c>
      <c r="Q34" s="18">
        <f t="shared" si="1"/>
        <v>60.714285714285708</v>
      </c>
    </row>
    <row r="35" spans="3:17" ht="18" x14ac:dyDescent="0.35">
      <c r="C35" s="1">
        <v>32</v>
      </c>
      <c r="D35" s="10">
        <v>45766</v>
      </c>
      <c r="E35" s="3">
        <v>2025</v>
      </c>
      <c r="F35" s="3" t="s">
        <v>18</v>
      </c>
      <c r="G35" s="3" t="s">
        <v>20</v>
      </c>
      <c r="H35" s="3">
        <v>36</v>
      </c>
      <c r="I35" s="3">
        <v>21</v>
      </c>
      <c r="J35" s="3">
        <v>5</v>
      </c>
      <c r="K35" s="3">
        <v>1</v>
      </c>
      <c r="L35" s="3">
        <f t="shared" si="2"/>
        <v>171.43</v>
      </c>
      <c r="M35" s="3">
        <v>1</v>
      </c>
      <c r="N35" s="3" t="s">
        <v>9</v>
      </c>
      <c r="O35" s="3" t="s">
        <v>10</v>
      </c>
      <c r="P35" s="3">
        <f t="shared" si="0"/>
        <v>26</v>
      </c>
      <c r="Q35" s="18">
        <f t="shared" si="1"/>
        <v>72.222222222222214</v>
      </c>
    </row>
    <row r="36" spans="3:17" ht="18" x14ac:dyDescent="0.35">
      <c r="C36" s="1">
        <v>33</v>
      </c>
      <c r="D36" s="10">
        <v>45768</v>
      </c>
      <c r="E36" s="3">
        <v>2025</v>
      </c>
      <c r="F36" s="3" t="s">
        <v>30</v>
      </c>
      <c r="G36" s="3" t="s">
        <v>35</v>
      </c>
      <c r="H36" s="3">
        <v>52</v>
      </c>
      <c r="I36" s="3">
        <v>36</v>
      </c>
      <c r="J36" s="3">
        <v>6</v>
      </c>
      <c r="K36" s="3">
        <v>1</v>
      </c>
      <c r="L36" s="3">
        <f t="shared" ref="L36:L59" si="3">ROUND((H36/I36)*100,2)</f>
        <v>144.44</v>
      </c>
      <c r="M36" s="3">
        <v>1</v>
      </c>
      <c r="N36" s="3" t="s">
        <v>9</v>
      </c>
      <c r="O36" s="3" t="s">
        <v>10</v>
      </c>
      <c r="P36" s="3">
        <f t="shared" ref="P36:P59" si="4">(J36*4)+(K36*6)</f>
        <v>30</v>
      </c>
      <c r="Q36" s="18">
        <f t="shared" ref="Q36:Q60" si="5">IF(H36=0,0,P36/H36)*100</f>
        <v>57.692307692307686</v>
      </c>
    </row>
    <row r="37" spans="3:17" ht="18" x14ac:dyDescent="0.35">
      <c r="C37" s="1">
        <v>34</v>
      </c>
      <c r="D37" s="10">
        <v>45775</v>
      </c>
      <c r="E37" s="3">
        <v>2025</v>
      </c>
      <c r="F37" s="3" t="s">
        <v>19</v>
      </c>
      <c r="G37" s="3" t="s">
        <v>27</v>
      </c>
      <c r="H37" s="3">
        <v>39</v>
      </c>
      <c r="I37" s="3">
        <v>30</v>
      </c>
      <c r="J37" s="3">
        <v>4</v>
      </c>
      <c r="K37" s="3">
        <v>1</v>
      </c>
      <c r="L37" s="3">
        <f t="shared" si="3"/>
        <v>130</v>
      </c>
      <c r="M37" s="3">
        <v>1</v>
      </c>
      <c r="N37" s="3" t="s">
        <v>9</v>
      </c>
      <c r="O37" s="3" t="s">
        <v>16</v>
      </c>
      <c r="P37" s="3">
        <f t="shared" si="4"/>
        <v>22</v>
      </c>
      <c r="Q37" s="18">
        <f t="shared" si="5"/>
        <v>56.410256410256409</v>
      </c>
    </row>
    <row r="38" spans="3:17" ht="18" x14ac:dyDescent="0.35">
      <c r="C38" s="1">
        <v>35</v>
      </c>
      <c r="D38" s="10">
        <v>45779</v>
      </c>
      <c r="E38" s="3">
        <v>2025</v>
      </c>
      <c r="F38" s="3" t="s">
        <v>13</v>
      </c>
      <c r="G38" s="3" t="s">
        <v>20</v>
      </c>
      <c r="H38" s="3">
        <v>48</v>
      </c>
      <c r="I38" s="3">
        <v>23</v>
      </c>
      <c r="J38" s="3">
        <v>9</v>
      </c>
      <c r="K38" s="3">
        <v>0</v>
      </c>
      <c r="L38" s="3">
        <f t="shared" si="3"/>
        <v>208.7</v>
      </c>
      <c r="M38" s="3">
        <v>1</v>
      </c>
      <c r="N38" s="3" t="s">
        <v>9</v>
      </c>
      <c r="O38" s="3" t="s">
        <v>10</v>
      </c>
      <c r="P38" s="3">
        <f t="shared" si="4"/>
        <v>36</v>
      </c>
      <c r="Q38" s="18">
        <f t="shared" si="5"/>
        <v>75</v>
      </c>
    </row>
    <row r="39" spans="3:17" ht="18" x14ac:dyDescent="0.35">
      <c r="C39" s="1">
        <v>36</v>
      </c>
      <c r="D39" s="10">
        <v>45783</v>
      </c>
      <c r="E39" s="3">
        <v>2025</v>
      </c>
      <c r="F39" s="3" t="s">
        <v>14</v>
      </c>
      <c r="G39" s="3" t="s">
        <v>8</v>
      </c>
      <c r="H39" s="3">
        <v>5</v>
      </c>
      <c r="I39" s="3">
        <v>5</v>
      </c>
      <c r="J39" s="3">
        <v>1</v>
      </c>
      <c r="K39" s="3">
        <v>0</v>
      </c>
      <c r="L39" s="3">
        <f t="shared" si="3"/>
        <v>100</v>
      </c>
      <c r="M39" s="3">
        <v>1</v>
      </c>
      <c r="N39" s="3" t="s">
        <v>9</v>
      </c>
      <c r="O39" s="3" t="s">
        <v>10</v>
      </c>
      <c r="P39" s="3">
        <f t="shared" si="4"/>
        <v>4</v>
      </c>
      <c r="Q39" s="18">
        <f t="shared" si="5"/>
        <v>80</v>
      </c>
    </row>
    <row r="40" spans="3:17" ht="18" x14ac:dyDescent="0.35">
      <c r="C40" s="1">
        <v>37</v>
      </c>
      <c r="D40" s="10">
        <v>45795</v>
      </c>
      <c r="E40" s="3">
        <v>2025</v>
      </c>
      <c r="F40" s="3" t="s">
        <v>18</v>
      </c>
      <c r="G40" s="3" t="s">
        <v>21</v>
      </c>
      <c r="H40" s="3">
        <v>108</v>
      </c>
      <c r="I40" s="3">
        <v>61</v>
      </c>
      <c r="J40" s="3">
        <v>12</v>
      </c>
      <c r="K40" s="3">
        <v>4</v>
      </c>
      <c r="L40" s="3">
        <f t="shared" si="3"/>
        <v>177.05</v>
      </c>
      <c r="M40" s="3">
        <v>1</v>
      </c>
      <c r="N40" s="3" t="s">
        <v>23</v>
      </c>
      <c r="O40" s="3" t="s">
        <v>10</v>
      </c>
      <c r="P40" s="3">
        <f t="shared" si="4"/>
        <v>72</v>
      </c>
      <c r="Q40" s="18">
        <f t="shared" si="5"/>
        <v>66.666666666666657</v>
      </c>
    </row>
    <row r="41" spans="3:17" ht="18" x14ac:dyDescent="0.35">
      <c r="C41" s="1">
        <v>38</v>
      </c>
      <c r="D41" s="10">
        <v>45799</v>
      </c>
      <c r="E41" s="3">
        <v>2025</v>
      </c>
      <c r="F41" s="3" t="s">
        <v>31</v>
      </c>
      <c r="G41" s="3" t="s">
        <v>20</v>
      </c>
      <c r="H41" s="3">
        <v>21</v>
      </c>
      <c r="I41" s="3">
        <v>16</v>
      </c>
      <c r="J41" s="3">
        <v>4</v>
      </c>
      <c r="K41" s="3">
        <v>0</v>
      </c>
      <c r="L41" s="3">
        <f t="shared" si="3"/>
        <v>131.25</v>
      </c>
      <c r="M41" s="3">
        <v>1</v>
      </c>
      <c r="N41" s="3" t="s">
        <v>9</v>
      </c>
      <c r="O41" s="3" t="s">
        <v>16</v>
      </c>
      <c r="P41" s="3">
        <f t="shared" si="4"/>
        <v>16</v>
      </c>
      <c r="Q41" s="18">
        <f t="shared" si="5"/>
        <v>76.19047619047619</v>
      </c>
    </row>
    <row r="42" spans="3:17" ht="18" x14ac:dyDescent="0.35">
      <c r="C42" s="1">
        <v>39</v>
      </c>
      <c r="D42" s="10">
        <v>45802</v>
      </c>
      <c r="E42" s="3">
        <v>2025</v>
      </c>
      <c r="F42" s="3" t="s">
        <v>17</v>
      </c>
      <c r="G42" s="3" t="s">
        <v>20</v>
      </c>
      <c r="H42" s="3">
        <v>41</v>
      </c>
      <c r="I42" s="3">
        <v>28</v>
      </c>
      <c r="J42" s="3">
        <v>6</v>
      </c>
      <c r="K42" s="3">
        <v>0</v>
      </c>
      <c r="L42" s="3">
        <f t="shared" si="3"/>
        <v>146.43</v>
      </c>
      <c r="M42" s="3">
        <v>1</v>
      </c>
      <c r="N42" s="3" t="s">
        <v>9</v>
      </c>
      <c r="O42" s="3" t="s">
        <v>16</v>
      </c>
      <c r="P42" s="3">
        <f t="shared" si="4"/>
        <v>24</v>
      </c>
      <c r="Q42" s="18">
        <f t="shared" si="5"/>
        <v>58.536585365853654</v>
      </c>
    </row>
    <row r="43" spans="3:17" ht="18" x14ac:dyDescent="0.35">
      <c r="C43" s="1">
        <v>40</v>
      </c>
      <c r="D43" s="10">
        <v>45807</v>
      </c>
      <c r="E43" s="3">
        <v>2025</v>
      </c>
      <c r="F43" s="3" t="s">
        <v>14</v>
      </c>
      <c r="G43" s="3" t="s">
        <v>37</v>
      </c>
      <c r="H43" s="3">
        <v>80</v>
      </c>
      <c r="I43" s="3">
        <v>49</v>
      </c>
      <c r="J43" s="3">
        <v>10</v>
      </c>
      <c r="K43" s="3">
        <v>1</v>
      </c>
      <c r="L43" s="3">
        <f t="shared" si="3"/>
        <v>163.27000000000001</v>
      </c>
      <c r="M43" s="3">
        <v>1</v>
      </c>
      <c r="N43" s="3" t="s">
        <v>33</v>
      </c>
      <c r="O43" s="3" t="s">
        <v>16</v>
      </c>
      <c r="P43" s="3">
        <f t="shared" si="4"/>
        <v>46</v>
      </c>
      <c r="Q43" s="18">
        <f t="shared" si="5"/>
        <v>57.499999999999993</v>
      </c>
    </row>
    <row r="44" spans="3:17" ht="18" x14ac:dyDescent="0.35">
      <c r="C44" s="1">
        <v>41</v>
      </c>
      <c r="D44" s="10">
        <v>46112</v>
      </c>
      <c r="E44" s="3">
        <v>2026</v>
      </c>
      <c r="F44" s="3" t="s">
        <v>7</v>
      </c>
      <c r="G44" s="3" t="s">
        <v>37</v>
      </c>
      <c r="H44" s="3">
        <v>13</v>
      </c>
      <c r="I44" s="3">
        <v>11</v>
      </c>
      <c r="J44" s="3">
        <v>2</v>
      </c>
      <c r="K44" s="3">
        <v>0</v>
      </c>
      <c r="L44" s="3">
        <f t="shared" si="3"/>
        <v>118.18</v>
      </c>
      <c r="M44" s="3">
        <v>1</v>
      </c>
      <c r="N44" s="3" t="s">
        <v>9</v>
      </c>
      <c r="O44" s="3" t="s">
        <v>16</v>
      </c>
      <c r="P44" s="3">
        <f t="shared" si="4"/>
        <v>8</v>
      </c>
      <c r="Q44" s="18">
        <f t="shared" si="5"/>
        <v>61.53846153846154</v>
      </c>
    </row>
    <row r="45" spans="3:17" ht="18" x14ac:dyDescent="0.35">
      <c r="C45" s="1">
        <v>42</v>
      </c>
      <c r="D45" s="10">
        <v>46116</v>
      </c>
      <c r="E45" s="3">
        <v>2026</v>
      </c>
      <c r="F45" s="3" t="s">
        <v>19</v>
      </c>
      <c r="G45" s="3" t="s">
        <v>20</v>
      </c>
      <c r="H45" s="3">
        <v>73</v>
      </c>
      <c r="I45" s="3">
        <v>44</v>
      </c>
      <c r="J45" s="3">
        <v>9</v>
      </c>
      <c r="K45" s="3">
        <v>3</v>
      </c>
      <c r="L45" s="3">
        <f t="shared" si="3"/>
        <v>165.91</v>
      </c>
      <c r="M45" s="3">
        <v>1</v>
      </c>
      <c r="N45" s="3" t="s">
        <v>9</v>
      </c>
      <c r="O45" s="3" t="s">
        <v>16</v>
      </c>
      <c r="P45" s="3">
        <f t="shared" si="4"/>
        <v>54</v>
      </c>
      <c r="Q45" s="18">
        <f t="shared" si="5"/>
        <v>73.972602739726028</v>
      </c>
    </row>
    <row r="46" spans="3:17" ht="18" x14ac:dyDescent="0.35">
      <c r="C46" s="1">
        <v>43</v>
      </c>
      <c r="D46" s="10">
        <v>46120</v>
      </c>
      <c r="E46" s="3">
        <v>2026</v>
      </c>
      <c r="F46" s="3" t="s">
        <v>18</v>
      </c>
      <c r="G46" s="3" t="s">
        <v>21</v>
      </c>
      <c r="H46" s="3">
        <v>12</v>
      </c>
      <c r="I46" s="3">
        <v>7</v>
      </c>
      <c r="J46" s="3">
        <v>2</v>
      </c>
      <c r="K46" s="3">
        <v>0</v>
      </c>
      <c r="L46" s="3">
        <f t="shared" si="3"/>
        <v>171.43</v>
      </c>
      <c r="M46" s="3">
        <v>1</v>
      </c>
      <c r="N46" s="3" t="s">
        <v>33</v>
      </c>
      <c r="O46" s="3" t="s">
        <v>10</v>
      </c>
      <c r="P46" s="3">
        <f t="shared" si="4"/>
        <v>8</v>
      </c>
      <c r="Q46" s="18">
        <f t="shared" si="5"/>
        <v>66.666666666666657</v>
      </c>
    </row>
    <row r="47" spans="3:17" ht="18" x14ac:dyDescent="0.35">
      <c r="C47" s="1">
        <v>44</v>
      </c>
      <c r="D47" s="10">
        <v>46124</v>
      </c>
      <c r="E47" s="3">
        <v>2026</v>
      </c>
      <c r="F47" s="3" t="s">
        <v>31</v>
      </c>
      <c r="G47" s="3" t="s">
        <v>26</v>
      </c>
      <c r="H47" s="3">
        <v>15</v>
      </c>
      <c r="I47" s="3">
        <v>14</v>
      </c>
      <c r="J47" s="3">
        <v>3</v>
      </c>
      <c r="K47" s="3">
        <v>0</v>
      </c>
      <c r="L47" s="3">
        <f t="shared" si="3"/>
        <v>107.14</v>
      </c>
      <c r="M47" s="3">
        <v>1</v>
      </c>
      <c r="N47" s="3" t="s">
        <v>9</v>
      </c>
      <c r="O47" s="3" t="s">
        <v>10</v>
      </c>
      <c r="P47" s="3">
        <f t="shared" si="4"/>
        <v>12</v>
      </c>
      <c r="Q47" s="18">
        <f t="shared" si="5"/>
        <v>80</v>
      </c>
    </row>
    <row r="48" spans="3:17" ht="18" x14ac:dyDescent="0.35">
      <c r="C48" s="1">
        <v>45</v>
      </c>
      <c r="D48" s="10">
        <v>46129</v>
      </c>
      <c r="E48" s="3">
        <v>2026</v>
      </c>
      <c r="F48" s="3" t="s">
        <v>30</v>
      </c>
      <c r="G48" s="3" t="s">
        <v>20</v>
      </c>
      <c r="H48" s="3">
        <v>22</v>
      </c>
      <c r="I48" s="3">
        <v>16</v>
      </c>
      <c r="J48" s="3">
        <v>1</v>
      </c>
      <c r="K48" s="3">
        <v>2</v>
      </c>
      <c r="L48" s="3">
        <f t="shared" si="3"/>
        <v>137.5</v>
      </c>
      <c r="M48" s="3">
        <v>1</v>
      </c>
      <c r="N48" s="3" t="s">
        <v>9</v>
      </c>
      <c r="O48" s="3" t="s">
        <v>10</v>
      </c>
      <c r="P48" s="3">
        <f t="shared" si="4"/>
        <v>16</v>
      </c>
      <c r="Q48" s="18">
        <f t="shared" si="5"/>
        <v>72.727272727272734</v>
      </c>
    </row>
    <row r="49" spans="3:17" ht="18" x14ac:dyDescent="0.35">
      <c r="C49" s="1">
        <v>46</v>
      </c>
      <c r="D49" s="10">
        <v>46132</v>
      </c>
      <c r="E49" s="3">
        <v>2026</v>
      </c>
      <c r="F49" s="3" t="s">
        <v>14</v>
      </c>
      <c r="G49" s="3" t="s">
        <v>20</v>
      </c>
      <c r="H49" s="3">
        <v>0</v>
      </c>
      <c r="I49" s="3">
        <v>1</v>
      </c>
      <c r="J49" s="3">
        <v>0</v>
      </c>
      <c r="K49" s="3">
        <v>0</v>
      </c>
      <c r="L49" s="3">
        <f t="shared" si="3"/>
        <v>0</v>
      </c>
      <c r="M49" s="3">
        <v>1</v>
      </c>
      <c r="N49" s="3" t="s">
        <v>9</v>
      </c>
      <c r="O49" s="3" t="s">
        <v>16</v>
      </c>
      <c r="P49" s="3">
        <f t="shared" si="4"/>
        <v>0</v>
      </c>
      <c r="Q49" s="18">
        <f t="shared" si="5"/>
        <v>0</v>
      </c>
    </row>
    <row r="50" spans="3:17" ht="18" x14ac:dyDescent="0.35">
      <c r="C50" s="1">
        <v>47</v>
      </c>
      <c r="D50" s="10">
        <v>46136</v>
      </c>
      <c r="E50" s="3">
        <v>2026</v>
      </c>
      <c r="F50" s="3" t="s">
        <v>12</v>
      </c>
      <c r="G50" s="3" t="s">
        <v>32</v>
      </c>
      <c r="H50" s="3">
        <v>100</v>
      </c>
      <c r="I50" s="3">
        <v>58</v>
      </c>
      <c r="J50" s="3">
        <v>11</v>
      </c>
      <c r="K50" s="3">
        <v>5</v>
      </c>
      <c r="L50" s="3">
        <f t="shared" si="3"/>
        <v>172.41</v>
      </c>
      <c r="M50" s="3">
        <v>1</v>
      </c>
      <c r="N50" s="3" t="s">
        <v>9</v>
      </c>
      <c r="O50" s="3" t="s">
        <v>16</v>
      </c>
      <c r="P50" s="3">
        <f t="shared" si="4"/>
        <v>74</v>
      </c>
      <c r="Q50" s="18">
        <f t="shared" si="5"/>
        <v>74</v>
      </c>
    </row>
    <row r="51" spans="3:17" ht="18" x14ac:dyDescent="0.35">
      <c r="C51" s="1">
        <v>48</v>
      </c>
      <c r="D51" s="10">
        <v>46138</v>
      </c>
      <c r="E51" s="3">
        <v>2026</v>
      </c>
      <c r="F51" s="3" t="s">
        <v>17</v>
      </c>
      <c r="G51" s="3" t="s">
        <v>25</v>
      </c>
      <c r="H51" s="3">
        <v>87</v>
      </c>
      <c r="I51" s="3">
        <v>46</v>
      </c>
      <c r="J51" s="3">
        <v>4</v>
      </c>
      <c r="K51" s="3">
        <v>7</v>
      </c>
      <c r="L51" s="3">
        <f t="shared" si="3"/>
        <v>189.13</v>
      </c>
      <c r="M51" s="3">
        <v>1</v>
      </c>
      <c r="N51" s="3" t="s">
        <v>9</v>
      </c>
      <c r="O51" s="3" t="s">
        <v>10</v>
      </c>
      <c r="P51" s="3">
        <f t="shared" si="4"/>
        <v>58</v>
      </c>
      <c r="Q51" s="18">
        <f t="shared" si="5"/>
        <v>66.666666666666657</v>
      </c>
    </row>
    <row r="52" spans="3:17" ht="18" x14ac:dyDescent="0.35">
      <c r="C52" s="1">
        <v>49</v>
      </c>
      <c r="D52" s="10">
        <v>46142</v>
      </c>
      <c r="E52" s="3">
        <v>2026</v>
      </c>
      <c r="F52" s="3" t="s">
        <v>12</v>
      </c>
      <c r="G52" s="3" t="s">
        <v>20</v>
      </c>
      <c r="H52" s="3">
        <v>6</v>
      </c>
      <c r="I52" s="3">
        <v>5</v>
      </c>
      <c r="J52" s="3">
        <v>1</v>
      </c>
      <c r="K52" s="3">
        <v>0</v>
      </c>
      <c r="L52" s="3">
        <f t="shared" si="3"/>
        <v>120</v>
      </c>
      <c r="M52" s="3">
        <v>1</v>
      </c>
      <c r="N52" s="3" t="s">
        <v>9</v>
      </c>
      <c r="O52" s="3" t="s">
        <v>10</v>
      </c>
      <c r="P52" s="3">
        <f t="shared" si="4"/>
        <v>4</v>
      </c>
      <c r="Q52" s="18">
        <f t="shared" si="5"/>
        <v>66.666666666666657</v>
      </c>
    </row>
    <row r="53" spans="3:17" ht="18" x14ac:dyDescent="0.35">
      <c r="C53" s="1">
        <v>50</v>
      </c>
      <c r="D53" s="10">
        <v>46145</v>
      </c>
      <c r="E53" s="3">
        <v>2026</v>
      </c>
      <c r="F53" s="3" t="s">
        <v>7</v>
      </c>
      <c r="G53" s="3" t="s">
        <v>20</v>
      </c>
      <c r="H53" s="3">
        <v>57</v>
      </c>
      <c r="I53" s="3">
        <v>41</v>
      </c>
      <c r="J53" s="3">
        <v>5</v>
      </c>
      <c r="K53" s="3">
        <v>1</v>
      </c>
      <c r="L53" s="3">
        <f t="shared" si="3"/>
        <v>139.02000000000001</v>
      </c>
      <c r="M53" s="3">
        <v>1</v>
      </c>
      <c r="N53" s="3" t="s">
        <v>9</v>
      </c>
      <c r="O53" s="3" t="s">
        <v>10</v>
      </c>
      <c r="P53" s="3">
        <f t="shared" si="4"/>
        <v>26</v>
      </c>
      <c r="Q53" s="18">
        <f t="shared" si="5"/>
        <v>45.614035087719294</v>
      </c>
    </row>
    <row r="54" spans="3:17" ht="18" x14ac:dyDescent="0.35">
      <c r="C54" s="1">
        <v>51</v>
      </c>
      <c r="D54" s="10">
        <v>46151</v>
      </c>
      <c r="E54" s="3">
        <v>2026</v>
      </c>
      <c r="F54" s="3" t="s">
        <v>19</v>
      </c>
      <c r="G54" s="3" t="s">
        <v>27</v>
      </c>
      <c r="H54" s="3">
        <v>55</v>
      </c>
      <c r="I54" s="3">
        <v>36</v>
      </c>
      <c r="J54" s="3">
        <v>6</v>
      </c>
      <c r="K54" s="3">
        <v>2</v>
      </c>
      <c r="L54" s="3">
        <f t="shared" si="3"/>
        <v>152.78</v>
      </c>
      <c r="M54" s="3">
        <v>1</v>
      </c>
      <c r="N54" s="3" t="s">
        <v>9</v>
      </c>
      <c r="O54" s="3" t="s">
        <v>10</v>
      </c>
      <c r="P54" s="3">
        <f t="shared" si="4"/>
        <v>36</v>
      </c>
      <c r="Q54" s="18">
        <f t="shared" si="5"/>
        <v>65.454545454545453</v>
      </c>
    </row>
    <row r="55" spans="3:17" ht="18" x14ac:dyDescent="0.35">
      <c r="C55" s="1">
        <v>52</v>
      </c>
      <c r="D55" s="10">
        <v>46154</v>
      </c>
      <c r="E55" s="3">
        <v>2026</v>
      </c>
      <c r="F55" s="3" t="s">
        <v>13</v>
      </c>
      <c r="G55" s="3" t="s">
        <v>20</v>
      </c>
      <c r="H55" s="3">
        <v>61</v>
      </c>
      <c r="I55" s="3">
        <v>44</v>
      </c>
      <c r="J55" s="3">
        <v>5</v>
      </c>
      <c r="K55" s="3">
        <v>2</v>
      </c>
      <c r="L55" s="3">
        <f t="shared" si="3"/>
        <v>138.63999999999999</v>
      </c>
      <c r="M55" s="3">
        <v>1</v>
      </c>
      <c r="N55" s="3" t="s">
        <v>9</v>
      </c>
      <c r="O55" s="3" t="s">
        <v>10</v>
      </c>
      <c r="P55" s="3">
        <f t="shared" si="4"/>
        <v>32</v>
      </c>
      <c r="Q55" s="18">
        <f t="shared" si="5"/>
        <v>52.459016393442624</v>
      </c>
    </row>
    <row r="56" spans="3:17" ht="18" x14ac:dyDescent="0.35">
      <c r="C56" s="1">
        <v>53</v>
      </c>
      <c r="D56" s="10">
        <v>46158</v>
      </c>
      <c r="E56" s="3">
        <v>2026</v>
      </c>
      <c r="F56" s="3" t="s">
        <v>30</v>
      </c>
      <c r="G56" s="3" t="s">
        <v>35</v>
      </c>
      <c r="H56" s="3">
        <v>53</v>
      </c>
      <c r="I56" s="3">
        <v>28</v>
      </c>
      <c r="J56" s="3">
        <v>6</v>
      </c>
      <c r="K56" s="3">
        <v>3</v>
      </c>
      <c r="L56" s="3">
        <f t="shared" si="3"/>
        <v>189.29</v>
      </c>
      <c r="M56" s="3">
        <v>1</v>
      </c>
      <c r="N56" s="3" t="s">
        <v>23</v>
      </c>
      <c r="O56" s="3" t="s">
        <v>16</v>
      </c>
      <c r="P56" s="3">
        <f t="shared" si="4"/>
        <v>42</v>
      </c>
      <c r="Q56" s="18">
        <f t="shared" si="5"/>
        <v>79.245283018867923</v>
      </c>
    </row>
    <row r="57" spans="3:17" ht="18" x14ac:dyDescent="0.35">
      <c r="C57" s="1">
        <v>54</v>
      </c>
      <c r="D57" s="10">
        <v>46163</v>
      </c>
      <c r="E57" s="3">
        <v>2026</v>
      </c>
      <c r="F57" s="3" t="s">
        <v>17</v>
      </c>
      <c r="G57" s="3" t="s">
        <v>20</v>
      </c>
      <c r="H57" s="3">
        <v>84</v>
      </c>
      <c r="I57" s="3">
        <v>53</v>
      </c>
      <c r="J57" s="3">
        <v>7</v>
      </c>
      <c r="K57" s="3">
        <v>4</v>
      </c>
      <c r="L57" s="3">
        <f t="shared" si="3"/>
        <v>158.49</v>
      </c>
      <c r="M57" s="3">
        <v>1</v>
      </c>
      <c r="N57" s="3" t="s">
        <v>9</v>
      </c>
      <c r="O57" s="3" t="s">
        <v>10</v>
      </c>
      <c r="P57" s="3">
        <f t="shared" si="4"/>
        <v>52</v>
      </c>
      <c r="Q57" s="18">
        <f t="shared" si="5"/>
        <v>61.904761904761905</v>
      </c>
    </row>
    <row r="58" spans="3:17" ht="18" x14ac:dyDescent="0.35">
      <c r="C58" s="1">
        <v>55</v>
      </c>
      <c r="D58" s="10">
        <v>46168</v>
      </c>
      <c r="E58" s="3">
        <v>2026</v>
      </c>
      <c r="F58" s="3" t="s">
        <v>12</v>
      </c>
      <c r="G58" s="3" t="s">
        <v>36</v>
      </c>
      <c r="H58" s="3">
        <v>14</v>
      </c>
      <c r="I58" s="3">
        <v>9</v>
      </c>
      <c r="J58" s="3">
        <v>3</v>
      </c>
      <c r="K58" s="3">
        <v>0</v>
      </c>
      <c r="L58" s="3">
        <f t="shared" si="3"/>
        <v>155.56</v>
      </c>
      <c r="M58" s="3">
        <v>1</v>
      </c>
      <c r="N58" s="3" t="s">
        <v>15</v>
      </c>
      <c r="O58" s="3" t="s">
        <v>16</v>
      </c>
      <c r="P58" s="3">
        <f t="shared" si="4"/>
        <v>12</v>
      </c>
      <c r="Q58" s="18">
        <f t="shared" si="5"/>
        <v>85.714285714285708</v>
      </c>
    </row>
    <row r="59" spans="3:17" ht="18" x14ac:dyDescent="0.35">
      <c r="C59" s="1">
        <v>56</v>
      </c>
      <c r="D59" s="14">
        <v>46171</v>
      </c>
      <c r="E59" s="3">
        <v>2026</v>
      </c>
      <c r="F59" s="4" t="s">
        <v>19</v>
      </c>
      <c r="G59" s="4" t="s">
        <v>37</v>
      </c>
      <c r="H59" s="4">
        <v>58</v>
      </c>
      <c r="I59" s="4">
        <v>32</v>
      </c>
      <c r="J59" s="4">
        <v>8</v>
      </c>
      <c r="K59" s="4">
        <v>1</v>
      </c>
      <c r="L59" s="4">
        <f t="shared" si="3"/>
        <v>181.25</v>
      </c>
      <c r="M59" s="3">
        <v>1</v>
      </c>
      <c r="N59" s="4" t="s">
        <v>15</v>
      </c>
      <c r="O59" s="4" t="s">
        <v>10</v>
      </c>
      <c r="P59" s="4">
        <f t="shared" si="4"/>
        <v>38</v>
      </c>
      <c r="Q59" s="18">
        <f t="shared" si="5"/>
        <v>65.517241379310349</v>
      </c>
    </row>
    <row r="60" spans="3:17" ht="18" x14ac:dyDescent="0.35">
      <c r="C60" s="9">
        <v>57</v>
      </c>
      <c r="D60" s="10">
        <v>46173</v>
      </c>
      <c r="E60" s="3">
        <v>2026</v>
      </c>
      <c r="F60" s="3" t="s">
        <v>12</v>
      </c>
      <c r="G60" s="3" t="s">
        <v>20</v>
      </c>
      <c r="H60" s="3">
        <v>12</v>
      </c>
      <c r="I60" s="3">
        <v>12</v>
      </c>
      <c r="J60" s="3">
        <v>2</v>
      </c>
      <c r="K60" s="3">
        <v>0</v>
      </c>
      <c r="L60" s="3">
        <f>ROUND((H60/I60)*100,2)</f>
        <v>100</v>
      </c>
      <c r="M60" s="3">
        <v>1</v>
      </c>
      <c r="N60" s="3" t="s">
        <v>9</v>
      </c>
      <c r="O60" s="3" t="s">
        <v>16</v>
      </c>
      <c r="P60" s="3">
        <f>(J60*4)+(K60*6)</f>
        <v>8</v>
      </c>
      <c r="Q60" s="18">
        <f t="shared" si="5"/>
        <v>66.666666666666657</v>
      </c>
    </row>
    <row r="62" spans="3:17" x14ac:dyDescent="0.3">
      <c r="I62" s="15"/>
      <c r="J62" s="15"/>
    </row>
    <row r="64" spans="3:17" x14ac:dyDescent="0.3">
      <c r="J64" s="15">
        <f>SUM(H9:H16)</f>
        <v>362</v>
      </c>
      <c r="K64" s="15"/>
    </row>
    <row r="65" spans="6:10" x14ac:dyDescent="0.3">
      <c r="G65">
        <f xml:space="preserve"> SUM(H4:H8)/4</f>
        <v>36.25</v>
      </c>
      <c r="I65" s="15"/>
      <c r="J65">
        <f>362/6</f>
        <v>60.333333333333336</v>
      </c>
    </row>
    <row r="67" spans="6:10" x14ac:dyDescent="0.3">
      <c r="F67" s="35">
        <f xml:space="preserve"> SUM(H4:H8)/4</f>
        <v>36.25</v>
      </c>
      <c r="I67" s="1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Main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Ishan Tatiwal</dc:creator>
  <cp:lastModifiedBy>Ishan Tatiwal</cp:lastModifiedBy>
  <dcterms:created xsi:type="dcterms:W3CDTF">2026-06-06T14:45:42Z</dcterms:created>
  <dcterms:modified xsi:type="dcterms:W3CDTF">2026-06-15T09:00:13Z</dcterms:modified>
</cp:coreProperties>
</file>